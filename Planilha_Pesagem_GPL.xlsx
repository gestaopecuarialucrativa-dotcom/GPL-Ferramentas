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Consultoria Rogério\App\App_Sistema\"/>
    </mc:Choice>
  </mc:AlternateContent>
  <xr:revisionPtr revIDLastSave="0" documentId="13_ncr:1_{BCCF75F4-2435-428A-9104-802C3E9A723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esagem" sheetId="1" r:id="rId1"/>
    <sheet name="📋 Instruções" sheetId="2" r:id="rId2"/>
  </sheets>
  <definedNames>
    <definedName name="_xlnm._FilterDatabase" localSheetId="0" hidden="1">Pesagem!$A$15:$D$515</definedName>
  </definedName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1" l="1"/>
  <c r="H10" i="1"/>
  <c r="I10" i="1"/>
  <c r="J10" i="1"/>
  <c r="K10" i="1"/>
  <c r="L10" i="1"/>
  <c r="M10" i="1"/>
  <c r="N10" i="1"/>
  <c r="O10" i="1"/>
  <c r="F10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O9" i="1"/>
  <c r="N9" i="1"/>
  <c r="M9" i="1"/>
  <c r="L9" i="1"/>
  <c r="K9" i="1"/>
  <c r="J9" i="1"/>
  <c r="I9" i="1"/>
  <c r="H9" i="1"/>
  <c r="G9" i="1"/>
  <c r="F9" i="1"/>
  <c r="O8" i="1"/>
  <c r="O11" i="1" s="1"/>
  <c r="N8" i="1"/>
  <c r="N11" i="1" s="1"/>
  <c r="M8" i="1"/>
  <c r="M11" i="1" s="1"/>
  <c r="L8" i="1"/>
  <c r="L11" i="1" s="1"/>
  <c r="K8" i="1"/>
  <c r="K11" i="1" s="1"/>
  <c r="J8" i="1"/>
  <c r="J11" i="1" s="1"/>
  <c r="I8" i="1"/>
  <c r="I11" i="1" s="1"/>
  <c r="H8" i="1"/>
  <c r="H11" i="1" s="1"/>
  <c r="G8" i="1"/>
  <c r="G11" i="1" s="1"/>
  <c r="F8" i="1"/>
  <c r="F11" i="1" s="1"/>
  <c r="O7" i="1"/>
  <c r="N7" i="1"/>
  <c r="M7" i="1"/>
  <c r="L7" i="1"/>
  <c r="K7" i="1"/>
  <c r="J7" i="1"/>
  <c r="I7" i="1"/>
  <c r="H7" i="1"/>
  <c r="G7" i="1"/>
  <c r="F7" i="1"/>
  <c r="P8" i="1" l="1"/>
  <c r="P7" i="1"/>
  <c r="J12" i="1" l="1"/>
  <c r="O12" i="1"/>
  <c r="G12" i="1"/>
  <c r="I12" i="1"/>
  <c r="M12" i="1"/>
  <c r="P9" i="1"/>
  <c r="P10" i="1" s="1"/>
  <c r="P11" i="1"/>
  <c r="N12" i="1"/>
  <c r="F12" i="1"/>
  <c r="L12" i="1"/>
  <c r="K12" i="1"/>
  <c r="H12" i="1"/>
</calcChain>
</file>

<file path=xl/sharedStrings.xml><?xml version="1.0" encoding="utf-8"?>
<sst xmlns="http://schemas.openxmlformats.org/spreadsheetml/2006/main" count="71" uniqueCount="71">
  <si>
    <t>PLANILHA DE PESAGEM DE GADO</t>
  </si>
  <si>
    <t>Fazenda:</t>
  </si>
  <si>
    <t>Data:</t>
  </si>
  <si>
    <t>Responsável:</t>
  </si>
  <si>
    <t>Rogério Avelino</t>
  </si>
  <si>
    <t>RESUMO AUTOMÁTICO POR LOTE  —  atualiza conforme você digita</t>
  </si>
  <si>
    <t>LOTE</t>
  </si>
  <si>
    <t>LOTE 1</t>
  </si>
  <si>
    <t>LOTE 2</t>
  </si>
  <si>
    <t>LOTE 3</t>
  </si>
  <si>
    <t>LOTE 4</t>
  </si>
  <si>
    <t>LOTE 5</t>
  </si>
  <si>
    <t>LOTE 6</t>
  </si>
  <si>
    <t>LOTE 7</t>
  </si>
  <si>
    <t>LOTE 8</t>
  </si>
  <si>
    <t>LOTE 9</t>
  </si>
  <si>
    <t>LOTE 10</t>
  </si>
  <si>
    <t>TOTAL
GERAL</t>
  </si>
  <si>
    <t>Qtd Animais</t>
  </si>
  <si>
    <t>Peso Total (kg)</t>
  </si>
  <si>
    <t>Média Peso (kg)</t>
  </si>
  <si>
    <t>Média Arrobas (@)</t>
  </si>
  <si>
    <t>UA  (÷ 450)</t>
  </si>
  <si>
    <t>% do Total</t>
  </si>
  <si>
    <t>100%</t>
  </si>
  <si>
    <t xml:space="preserve">  ✏️  PREENCHA:  A = Nº Animal / Brinco   |   B = Peso (kg)   |   C = Nº do Lote (1, 2, 3...)   |   D = Observação   →   Cabeçalho atualiza automaticamente</t>
  </si>
  <si>
    <t>Nº Animal / Brinco</t>
  </si>
  <si>
    <t>Peso (kg)</t>
  </si>
  <si>
    <t>Lote (1 a 10)</t>
  </si>
  <si>
    <t>Observação</t>
  </si>
  <si>
    <t xml:space="preserve">  🐄  Como Usar Esta Planilha  —  Gestão Pecuária Lucrativa  —  (63) 99108-2453</t>
  </si>
  <si>
    <t>1️⃣</t>
  </si>
  <si>
    <t>CABEÇALHO</t>
  </si>
  <si>
    <t>Preencha: célula I2 = nome da fazenda  |  H3 = data  |  K3 = responsável</t>
  </si>
  <si>
    <t>2️⃣</t>
  </si>
  <si>
    <t>DIGITANDO</t>
  </si>
  <si>
    <t>A partir da linha 16, preencha 4 campos por animal:</t>
  </si>
  <si>
    <t>Coluna A →</t>
  </si>
  <si>
    <t>Número ou brinco do animal  (ex: 0001, BT-42)</t>
  </si>
  <si>
    <t>Coluna B →</t>
  </si>
  <si>
    <t>Peso em kg  (ex: 385,  412.5)</t>
  </si>
  <si>
    <t>Coluna C →</t>
  </si>
  <si>
    <t>NÚMERO DO LOTE: use 1, 2, 3, 4...  ← define os grupos!</t>
  </si>
  <si>
    <t>Coluna D →</t>
  </si>
  <si>
    <t>Observação  (gerada automaticamente se animal repetido)</t>
  </si>
  <si>
    <t>⚠️</t>
  </si>
  <si>
    <t>ANIMAL REPETIDO</t>
  </si>
  <si>
    <t>Se o Nº Animal da coluna A já foi digitado antes:</t>
  </si>
  <si>
    <t>→ A linha fica VERMELHA automaticamente</t>
  </si>
  <si>
    <t>→ A coluna D mostra: ⚠️ JÁ PESADO! Peso: 385.0 kg  Lote: 2</t>
  </si>
  <si>
    <t>3️⃣</t>
  </si>
  <si>
    <t>RESUMO AUTOMÁTICO</t>
  </si>
  <si>
    <t>Linhas 6-12 atualizam enquanto você digita:</t>
  </si>
  <si>
    <t>Qtd Animais →</t>
  </si>
  <si>
    <t>Quantos animais naquele lote</t>
  </si>
  <si>
    <t>Peso Total →</t>
  </si>
  <si>
    <t>Soma dos pesos do lote</t>
  </si>
  <si>
    <t>Média Peso →</t>
  </si>
  <si>
    <t>Média de kg por cabeça</t>
  </si>
  <si>
    <t>Média Arrobas →</t>
  </si>
  <si>
    <t>Peso médio ÷ 15</t>
  </si>
  <si>
    <t>UA →</t>
  </si>
  <si>
    <t>Peso total ÷ 450</t>
  </si>
  <si>
    <t>% do Total →</t>
  </si>
  <si>
    <t>Participação do lote no total</t>
  </si>
  <si>
    <t>4️⃣</t>
  </si>
  <si>
    <t>NOMES DOS LOTES</t>
  </si>
  <si>
    <t>Você pode editar 'LOTE 1' para: Boi Gordo, Novilha, Garrote...</t>
  </si>
  <si>
    <t>5️⃣</t>
  </si>
  <si>
    <t>ENVIO</t>
  </si>
  <si>
    <t>Salve e envie para:  📞 (63) 99108-2453  |  @gestaolucrativa.pecuaria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</si>
</sst>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2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9"/>
      <color rgb="FFAAFFAA"/>
      <name val="Arial"/>
      <charset val="1"/>
    </font>
    <font>
      <b/>
      <sz val="11"/>
      <color rgb="FF1B5E20"/>
      <name val="Arial"/>
      <charset val="1"/>
    </font>
    <font>
      <sz val="10"/>
      <color rgb="FF111111"/>
      <name val="Arial"/>
      <charset val="1"/>
    </font>
    <font>
      <b/>
      <sz val="9"/>
      <color rgb="FFFFFFFF"/>
      <name val="Arial"/>
      <charset val="1"/>
    </font>
    <font>
      <b/>
      <sz val="9"/>
      <color rgb="FF1B5E20"/>
      <name val="Arial"/>
      <charset val="1"/>
    </font>
    <font>
      <b/>
      <sz val="10"/>
      <color rgb="FFFFFFFF"/>
      <name val="Arial"/>
      <charset val="1"/>
    </font>
    <font>
      <b/>
      <sz val="12"/>
      <color rgb="FF1B5E20"/>
      <name val="Arial"/>
      <charset val="1"/>
    </font>
    <font>
      <b/>
      <sz val="10"/>
      <color rgb="FF1B5E20"/>
      <name val="Arial"/>
      <charset val="1"/>
    </font>
    <font>
      <b/>
      <sz val="10"/>
      <color rgb="FF1565C0"/>
      <name val="Arial"/>
      <charset val="1"/>
    </font>
    <font>
      <sz val="10"/>
      <color rgb="FFE65100"/>
      <name val="Arial"/>
      <charset val="1"/>
    </font>
    <font>
      <sz val="10"/>
      <color rgb="FF555555"/>
      <name val="Arial"/>
      <charset val="1"/>
    </font>
    <font>
      <sz val="9"/>
      <color rgb="FF777777"/>
      <name val="Arial"/>
      <charset val="1"/>
    </font>
    <font>
      <b/>
      <sz val="10"/>
      <color rgb="FF111111"/>
      <name val="Arial"/>
      <charset val="1"/>
    </font>
    <font>
      <b/>
      <sz val="9"/>
      <color rgb="FFC62828"/>
      <name val="Arial"/>
      <charset val="1"/>
    </font>
    <font>
      <b/>
      <sz val="14"/>
      <color rgb="FFFFFFFF"/>
      <name val="Arial"/>
      <charset val="1"/>
    </font>
    <font>
      <b/>
      <sz val="12"/>
      <color rgb="FF111111"/>
      <name val="Arial"/>
      <charset val="1"/>
    </font>
    <font>
      <b/>
      <sz val="10"/>
      <color rgb="FF333333"/>
      <name val="Arial"/>
      <charset val="1"/>
    </font>
    <font>
      <sz val="10"/>
      <color rgb="FF333333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FFFDE7"/>
        <bgColor rgb="FFFFFBEA"/>
      </patternFill>
    </fill>
    <fill>
      <patternFill patternType="solid">
        <fgColor rgb="FF2E7D32"/>
        <bgColor rgb="FF388E3C"/>
      </patternFill>
    </fill>
    <fill>
      <patternFill patternType="solid">
        <fgColor rgb="FFE8F5E9"/>
        <bgColor rgb="FFF5F5F5"/>
      </patternFill>
    </fill>
    <fill>
      <patternFill patternType="solid">
        <fgColor rgb="FF388E3C"/>
        <bgColor rgb="FF2E7D32"/>
      </patternFill>
    </fill>
    <fill>
      <patternFill patternType="solid">
        <fgColor rgb="FFFFFFFF"/>
        <bgColor rgb="FFFFFBEA"/>
      </patternFill>
    </fill>
    <fill>
      <patternFill patternType="solid">
        <fgColor rgb="FFF5F5F5"/>
        <bgColor rgb="FFFFFBEA"/>
      </patternFill>
    </fill>
    <fill>
      <patternFill patternType="solid">
        <fgColor rgb="FFFFFBEA"/>
        <bgColor rgb="FFFFFDE7"/>
      </patternFill>
    </fill>
    <fill>
      <patternFill patternType="solid">
        <fgColor rgb="FFD4EDD4"/>
        <bgColor rgb="FFE8F5E9"/>
      </patternFill>
    </fill>
  </fills>
  <borders count="8">
    <border>
      <left/>
      <right/>
      <top/>
      <bottom/>
      <diagonal/>
    </border>
    <border>
      <left style="medium">
        <color rgb="FF1B5E20"/>
      </left>
      <right/>
      <top style="medium">
        <color rgb="FF1B5E20"/>
      </top>
      <bottom style="medium">
        <color rgb="FF1B5E2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rgb="FF1B5E20"/>
      </left>
      <right style="medium">
        <color rgb="FF1B5E20"/>
      </right>
      <top style="medium">
        <color rgb="FF1B5E20"/>
      </top>
      <bottom style="medium">
        <color rgb="FF1B5E20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medium">
        <color rgb="FF1B5E20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1">
    <xf numFmtId="0" fontId="0" fillId="0" borderId="0" xfId="0"/>
    <xf numFmtId="14" fontId="4" fillId="3" borderId="2" xfId="0" applyNumberFormat="1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3" fontId="8" fillId="7" borderId="2" xfId="0" applyNumberFormat="1" applyFont="1" applyFill="1" applyBorder="1" applyAlignment="1">
      <alignment horizontal="center" vertical="center"/>
    </xf>
    <xf numFmtId="3" fontId="9" fillId="5" borderId="4" xfId="0" applyNumberFormat="1" applyFont="1" applyFill="1" applyBorder="1" applyAlignment="1">
      <alignment horizontal="center" vertical="center"/>
    </xf>
    <xf numFmtId="164" fontId="10" fillId="7" borderId="2" xfId="0" applyNumberFormat="1" applyFont="1" applyFill="1" applyBorder="1" applyAlignment="1">
      <alignment horizontal="center" vertical="center"/>
    </xf>
    <xf numFmtId="164" fontId="10" fillId="5" borderId="4" xfId="0" applyNumberFormat="1" applyFont="1" applyFill="1" applyBorder="1" applyAlignment="1">
      <alignment horizontal="center" vertical="center"/>
    </xf>
    <xf numFmtId="164" fontId="4" fillId="8" borderId="2" xfId="0" applyNumberFormat="1" applyFont="1" applyFill="1" applyBorder="1" applyAlignment="1">
      <alignment horizontal="center" vertical="center"/>
    </xf>
    <xf numFmtId="164" fontId="4" fillId="5" borderId="4" xfId="0" applyNumberFormat="1" applyFont="1" applyFill="1" applyBorder="1" applyAlignment="1">
      <alignment horizontal="center" vertical="center"/>
    </xf>
    <xf numFmtId="4" fontId="11" fillId="8" borderId="2" xfId="0" applyNumberFormat="1" applyFont="1" applyFill="1" applyBorder="1" applyAlignment="1">
      <alignment horizontal="center" vertical="center"/>
    </xf>
    <xf numFmtId="4" fontId="11" fillId="5" borderId="4" xfId="0" applyNumberFormat="1" applyFont="1" applyFill="1" applyBorder="1" applyAlignment="1">
      <alignment horizontal="center" vertical="center"/>
    </xf>
    <xf numFmtId="4" fontId="12" fillId="8" borderId="2" xfId="0" applyNumberFormat="1" applyFont="1" applyFill="1" applyBorder="1" applyAlignment="1">
      <alignment horizontal="center" vertical="center"/>
    </xf>
    <xf numFmtId="4" fontId="4" fillId="5" borderId="4" xfId="0" applyNumberFormat="1" applyFont="1" applyFill="1" applyBorder="1" applyAlignment="1">
      <alignment horizontal="center" vertical="center"/>
    </xf>
    <xf numFmtId="165" fontId="13" fillId="5" borderId="2" xfId="0" applyNumberFormat="1" applyFont="1" applyFill="1" applyBorder="1" applyAlignment="1">
      <alignment horizontal="center" vertical="center"/>
    </xf>
    <xf numFmtId="165" fontId="9" fillId="5" borderId="4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164" fontId="14" fillId="3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center" vertical="center"/>
    </xf>
    <xf numFmtId="164" fontId="14" fillId="9" borderId="2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3" fillId="5" borderId="0" xfId="0" applyFont="1" applyFill="1" applyAlignment="1">
      <alignment horizontal="right" vertical="center"/>
    </xf>
    <xf numFmtId="0" fontId="3" fillId="5" borderId="0" xfId="0" applyFont="1" applyFill="1" applyAlignment="1">
      <alignment horizontal="lef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 wrapText="1"/>
    </xf>
    <xf numFmtId="0" fontId="6" fillId="5" borderId="3" xfId="0" applyFont="1" applyFill="1" applyBorder="1" applyAlignment="1">
      <alignment horizontal="right" vertical="center"/>
    </xf>
    <xf numFmtId="0" fontId="6" fillId="5" borderId="5" xfId="0" applyFont="1" applyFill="1" applyBorder="1" applyAlignment="1">
      <alignment horizontal="right" vertical="center"/>
    </xf>
    <xf numFmtId="0" fontId="6" fillId="5" borderId="6" xfId="0" applyFont="1" applyFill="1" applyBorder="1" applyAlignment="1">
      <alignment horizontal="right" vertical="center"/>
    </xf>
    <xf numFmtId="0" fontId="6" fillId="5" borderId="7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16" fillId="2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FEBEE"/>
        </patternFill>
      </fill>
    </dxf>
    <dxf>
      <font>
        <b/>
        <color rgb="FFC62828"/>
        <name val="Arial"/>
        <charset val="1"/>
      </font>
      <fill>
        <patternFill>
          <bgColor rgb="FFFFEBE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DE7"/>
      <rgbColor rgb="FFE8F5E9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4EDD4"/>
      <rgbColor rgb="FFFFFBEA"/>
      <rgbColor rgb="FFAAFFAA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E65100"/>
      <rgbColor rgb="FF555555"/>
      <rgbColor rgb="FFAAAAAA"/>
      <rgbColor rgb="FF003366"/>
      <rgbColor rgb="FF388E3C"/>
      <rgbColor rgb="FF111111"/>
      <rgbColor rgb="FF1B5E20"/>
      <rgbColor rgb="FFC62828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447675</xdr:colOff>
      <xdr:row>0</xdr:row>
      <xdr:rowOff>152400</xdr:rowOff>
    </xdr:from>
    <xdr:to>
      <xdr:col>3</xdr:col>
      <xdr:colOff>1792455</xdr:colOff>
      <xdr:row>1</xdr:row>
      <xdr:rowOff>266520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781300" y="152400"/>
          <a:ext cx="2011530" cy="809445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5"/>
  <sheetViews>
    <sheetView showGridLines="0" tabSelected="1" zoomScaleNormal="100" workbookViewId="0">
      <selection activeCell="F10" sqref="F10:O10"/>
    </sheetView>
  </sheetViews>
  <sheetFormatPr defaultColWidth="8.7109375" defaultRowHeight="15" x14ac:dyDescent="0.25"/>
  <cols>
    <col min="1" max="1" width="22" customWidth="1"/>
    <col min="2" max="2" width="13" customWidth="1"/>
    <col min="3" max="3" width="10" customWidth="1"/>
    <col min="4" max="4" width="61.85546875" customWidth="1"/>
    <col min="5" max="5" width="3" customWidth="1"/>
    <col min="6" max="15" width="14" customWidth="1"/>
    <col min="16" max="16" width="16" customWidth="1"/>
  </cols>
  <sheetData>
    <row r="1" spans="1:16" ht="54.75" customHeight="1" x14ac:dyDescent="0.25">
      <c r="A1" s="35"/>
      <c r="B1" s="35"/>
      <c r="C1" s="35"/>
      <c r="D1" s="35"/>
      <c r="E1" s="35"/>
      <c r="F1" s="36" t="s">
        <v>0</v>
      </c>
      <c r="G1" s="36"/>
      <c r="H1" s="36"/>
      <c r="I1" s="36"/>
      <c r="J1" s="36"/>
      <c r="K1" s="36"/>
      <c r="L1" s="36"/>
      <c r="M1" s="36"/>
    </row>
    <row r="2" spans="1:16" ht="21.75" customHeight="1" x14ac:dyDescent="0.25">
      <c r="A2" s="35"/>
      <c r="B2" s="35"/>
      <c r="C2" s="35"/>
      <c r="D2" s="35"/>
      <c r="E2" s="35"/>
      <c r="F2" s="37" t="s">
        <v>1</v>
      </c>
      <c r="G2" s="37"/>
      <c r="H2" s="37"/>
      <c r="I2" s="38"/>
      <c r="J2" s="38"/>
      <c r="K2" s="38"/>
      <c r="L2" s="38"/>
      <c r="M2" s="38"/>
    </row>
    <row r="3" spans="1:16" ht="21.75" customHeight="1" x14ac:dyDescent="0.25">
      <c r="A3" s="35"/>
      <c r="B3" s="35"/>
      <c r="C3" s="35"/>
      <c r="D3" s="35"/>
      <c r="E3" s="35"/>
      <c r="F3" s="37" t="s">
        <v>2</v>
      </c>
      <c r="G3" s="37"/>
      <c r="H3" s="1">
        <v>46167</v>
      </c>
      <c r="I3" s="37" t="s">
        <v>3</v>
      </c>
      <c r="J3" s="37"/>
      <c r="K3" s="39" t="s">
        <v>4</v>
      </c>
      <c r="L3" s="39"/>
      <c r="M3" s="39"/>
    </row>
    <row r="4" spans="1:16" ht="9.75" customHeight="1" x14ac:dyDescent="0.25"/>
    <row r="5" spans="1:16" ht="15.75" customHeight="1" thickBot="1" x14ac:dyDescent="0.3">
      <c r="F5" s="34" t="s">
        <v>5</v>
      </c>
      <c r="G5" s="34"/>
      <c r="H5" s="34"/>
      <c r="I5" s="34"/>
      <c r="J5" s="34"/>
      <c r="K5" s="34"/>
      <c r="L5" s="34"/>
      <c r="M5" s="34"/>
      <c r="N5" s="34"/>
      <c r="O5" s="34"/>
      <c r="P5" s="34"/>
    </row>
    <row r="6" spans="1:16" ht="21.75" customHeight="1" thickBot="1" x14ac:dyDescent="0.3">
      <c r="A6" s="29" t="s">
        <v>6</v>
      </c>
      <c r="B6" s="30"/>
      <c r="C6" s="30"/>
      <c r="D6" s="30"/>
      <c r="E6" s="32"/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2" t="s">
        <v>16</v>
      </c>
      <c r="P6" s="3" t="s">
        <v>17</v>
      </c>
    </row>
    <row r="7" spans="1:16" ht="21.75" customHeight="1" thickBot="1" x14ac:dyDescent="0.3">
      <c r="A7" s="29" t="s">
        <v>18</v>
      </c>
      <c r="B7" s="30"/>
      <c r="C7" s="30"/>
      <c r="D7" s="30"/>
      <c r="E7" s="31"/>
      <c r="F7" s="4">
        <f>COUNTIF(C16:C515,1)</f>
        <v>0</v>
      </c>
      <c r="G7" s="4">
        <f>COUNTIF(C16:C515,2)</f>
        <v>0</v>
      </c>
      <c r="H7" s="4">
        <f>COUNTIF(C16:C515,3)</f>
        <v>0</v>
      </c>
      <c r="I7" s="4">
        <f>COUNTIF(C16:C515,4)</f>
        <v>0</v>
      </c>
      <c r="J7" s="4">
        <f>COUNTIF(C16:C515,5)</f>
        <v>0</v>
      </c>
      <c r="K7" s="4">
        <f>COUNTIF(C16:C515,6)</f>
        <v>0</v>
      </c>
      <c r="L7" s="4">
        <f>COUNTIF(C16:C515,7)</f>
        <v>0</v>
      </c>
      <c r="M7" s="4">
        <f>COUNTIF(C16:C515,8)</f>
        <v>0</v>
      </c>
      <c r="N7" s="4">
        <f>COUNTIF(C16:C515,9)</f>
        <v>0</v>
      </c>
      <c r="O7" s="4">
        <f>COUNTIF(C16:C515,10)</f>
        <v>0</v>
      </c>
      <c r="P7" s="5">
        <f>F7+G7+H7+I7+J7+K7+L7+M7+N7+O7</f>
        <v>0</v>
      </c>
    </row>
    <row r="8" spans="1:16" ht="21.75" customHeight="1" thickBot="1" x14ac:dyDescent="0.3">
      <c r="A8" s="29" t="s">
        <v>19</v>
      </c>
      <c r="B8" s="30"/>
      <c r="C8" s="30"/>
      <c r="D8" s="30"/>
      <c r="E8" s="31"/>
      <c r="F8" s="6">
        <f>IFERROR(SUMIF(C16:C515,1,B16:B515),"")</f>
        <v>0</v>
      </c>
      <c r="G8" s="6">
        <f>IFERROR(SUMIF(C16:C515,2,B16:B515),"")</f>
        <v>0</v>
      </c>
      <c r="H8" s="6">
        <f>IFERROR(SUMIF(C16:C515,3,B16:B515),"")</f>
        <v>0</v>
      </c>
      <c r="I8" s="6">
        <f>IFERROR(SUMIF(C16:C515,4,B16:B515),"")</f>
        <v>0</v>
      </c>
      <c r="J8" s="6">
        <f>IFERROR(SUMIF(C16:C515,5,B16:B515),"")</f>
        <v>0</v>
      </c>
      <c r="K8" s="6">
        <f>IFERROR(SUMIF(C16:C515,6,B16:B515),"")</f>
        <v>0</v>
      </c>
      <c r="L8" s="6">
        <f>IFERROR(SUMIF(C16:C515,7,B16:B515),"")</f>
        <v>0</v>
      </c>
      <c r="M8" s="6">
        <f>IFERROR(SUMIF(C16:C515,8,B16:B515),"")</f>
        <v>0</v>
      </c>
      <c r="N8" s="6">
        <f>IFERROR(SUMIF(C16:C515,9,B16:B515),"")</f>
        <v>0</v>
      </c>
      <c r="O8" s="6">
        <f>IFERROR(SUMIF(C16:C515,10,B16:B515),"")</f>
        <v>0</v>
      </c>
      <c r="P8" s="7">
        <f>IFERROR(F8,0)+IFERROR(G8,0)+IFERROR(H8,0)+IFERROR(I8,0)+IFERROR(J8,0)+IFERROR(K8,0)+IFERROR(L8,0)+IFERROR(M8,0)+IFERROR(N8,0)+IFERROR(O8,0)</f>
        <v>0</v>
      </c>
    </row>
    <row r="9" spans="1:16" ht="21.75" customHeight="1" thickBot="1" x14ac:dyDescent="0.3">
      <c r="A9" s="29" t="s">
        <v>20</v>
      </c>
      <c r="B9" s="30"/>
      <c r="C9" s="30"/>
      <c r="D9" s="30"/>
      <c r="E9" s="31"/>
      <c r="F9" s="8" t="str">
        <f>IFERROR(AVERAGEIF(C16:C515,1,B16:B515),"")</f>
        <v/>
      </c>
      <c r="G9" s="8" t="str">
        <f>IFERROR(AVERAGEIF(C16:C515,2,B16:B515),"")</f>
        <v/>
      </c>
      <c r="H9" s="8" t="str">
        <f>IFERROR(AVERAGEIF(C16:C515,3,B16:B515),"")</f>
        <v/>
      </c>
      <c r="I9" s="8" t="str">
        <f>IFERROR(AVERAGEIF(C16:C515,4,B16:B515),"")</f>
        <v/>
      </c>
      <c r="J9" s="8" t="str">
        <f>IFERROR(AVERAGEIF(C16:C515,5,B16:B515),"")</f>
        <v/>
      </c>
      <c r="K9" s="8" t="str">
        <f>IFERROR(AVERAGEIF(C16:C515,6,B16:B515),"")</f>
        <v/>
      </c>
      <c r="L9" s="8" t="str">
        <f>IFERROR(AVERAGEIF(C16:C515,7,B16:B515),"")</f>
        <v/>
      </c>
      <c r="M9" s="8" t="str">
        <f>IFERROR(AVERAGEIF(C16:C515,8,B16:B515),"")</f>
        <v/>
      </c>
      <c r="N9" s="8" t="str">
        <f>IFERROR(AVERAGEIF(C16:C515,9,B16:B515),"")</f>
        <v/>
      </c>
      <c r="O9" s="8" t="str">
        <f>IFERROR(AVERAGEIF(C16:C515,10,B16:B515),"")</f>
        <v/>
      </c>
      <c r="P9" s="9" t="str">
        <f>IFERROR(P8/P7,"")</f>
        <v/>
      </c>
    </row>
    <row r="10" spans="1:16" ht="21.75" customHeight="1" thickBot="1" x14ac:dyDescent="0.3">
      <c r="A10" s="29" t="s">
        <v>21</v>
      </c>
      <c r="B10" s="30"/>
      <c r="C10" s="30"/>
      <c r="D10" s="30"/>
      <c r="E10" s="31"/>
      <c r="F10" s="10" t="str">
        <f>IFERROR(F9/30,"")</f>
        <v/>
      </c>
      <c r="G10" s="10" t="str">
        <f t="shared" ref="G10:O10" si="0">IFERROR(G9/30,"")</f>
        <v/>
      </c>
      <c r="H10" s="10" t="str">
        <f t="shared" si="0"/>
        <v/>
      </c>
      <c r="I10" s="10" t="str">
        <f t="shared" si="0"/>
        <v/>
      </c>
      <c r="J10" s="10" t="str">
        <f t="shared" si="0"/>
        <v/>
      </c>
      <c r="K10" s="10" t="str">
        <f t="shared" si="0"/>
        <v/>
      </c>
      <c r="L10" s="10" t="str">
        <f t="shared" si="0"/>
        <v/>
      </c>
      <c r="M10" s="10" t="str">
        <f t="shared" si="0"/>
        <v/>
      </c>
      <c r="N10" s="10" t="str">
        <f t="shared" si="0"/>
        <v/>
      </c>
      <c r="O10" s="10" t="str">
        <f t="shared" si="0"/>
        <v/>
      </c>
      <c r="P10" s="11" t="str">
        <f t="shared" ref="F10:P10" si="1">IFERROR(P9/15,"")</f>
        <v/>
      </c>
    </row>
    <row r="11" spans="1:16" ht="21.75" customHeight="1" thickBot="1" x14ac:dyDescent="0.3">
      <c r="A11" s="29" t="s">
        <v>22</v>
      </c>
      <c r="B11" s="30"/>
      <c r="C11" s="30"/>
      <c r="D11" s="30"/>
      <c r="E11" s="31"/>
      <c r="F11" s="12">
        <f t="shared" ref="F11:P11" si="2">IFERROR(F8/450,"")</f>
        <v>0</v>
      </c>
      <c r="G11" s="12">
        <f t="shared" si="2"/>
        <v>0</v>
      </c>
      <c r="H11" s="12">
        <f t="shared" si="2"/>
        <v>0</v>
      </c>
      <c r="I11" s="12">
        <f t="shared" si="2"/>
        <v>0</v>
      </c>
      <c r="J11" s="12">
        <f t="shared" si="2"/>
        <v>0</v>
      </c>
      <c r="K11" s="12">
        <f t="shared" si="2"/>
        <v>0</v>
      </c>
      <c r="L11" s="12">
        <f t="shared" si="2"/>
        <v>0</v>
      </c>
      <c r="M11" s="12">
        <f t="shared" si="2"/>
        <v>0</v>
      </c>
      <c r="N11" s="12">
        <f t="shared" si="2"/>
        <v>0</v>
      </c>
      <c r="O11" s="12">
        <f t="shared" si="2"/>
        <v>0</v>
      </c>
      <c r="P11" s="13">
        <f t="shared" si="2"/>
        <v>0</v>
      </c>
    </row>
    <row r="12" spans="1:16" ht="21.75" customHeight="1" thickBot="1" x14ac:dyDescent="0.3">
      <c r="A12" s="29" t="s">
        <v>23</v>
      </c>
      <c r="B12" s="30"/>
      <c r="C12" s="30"/>
      <c r="D12" s="30"/>
      <c r="E12" s="31"/>
      <c r="F12" s="14" t="str">
        <f>IFERROR(F7/P7,"")</f>
        <v/>
      </c>
      <c r="G12" s="14" t="str">
        <f>IFERROR(G7/P7,"")</f>
        <v/>
      </c>
      <c r="H12" s="14" t="str">
        <f>IFERROR(H7/P7,"")</f>
        <v/>
      </c>
      <c r="I12" s="14" t="str">
        <f>IFERROR(I7/P7,"")</f>
        <v/>
      </c>
      <c r="J12" s="14" t="str">
        <f>IFERROR(J7/P7,"")</f>
        <v/>
      </c>
      <c r="K12" s="14" t="str">
        <f>IFERROR(K7/P7,"")</f>
        <v/>
      </c>
      <c r="L12" s="14" t="str">
        <f>IFERROR(L7/P7,"")</f>
        <v/>
      </c>
      <c r="M12" s="14" t="str">
        <f>IFERROR(M7/P7,"")</f>
        <v/>
      </c>
      <c r="N12" s="14" t="str">
        <f>IFERROR(N7/P7,"")</f>
        <v/>
      </c>
      <c r="O12" s="14" t="str">
        <f>IFERROR(O7/P7,"")</f>
        <v/>
      </c>
      <c r="P12" s="15" t="s">
        <v>24</v>
      </c>
    </row>
    <row r="13" spans="1:16" ht="9.75" customHeight="1" thickBot="1" x14ac:dyDescent="0.3"/>
    <row r="14" spans="1:16" ht="18" customHeight="1" thickBot="1" x14ac:dyDescent="0.3">
      <c r="A14" s="33" t="s">
        <v>25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</row>
    <row r="15" spans="1:16" ht="25.5" customHeight="1" x14ac:dyDescent="0.25">
      <c r="A15" s="3" t="s">
        <v>26</v>
      </c>
      <c r="B15" s="3" t="s">
        <v>27</v>
      </c>
      <c r="C15" s="3" t="s">
        <v>28</v>
      </c>
      <c r="D15" s="3" t="s">
        <v>29</v>
      </c>
    </row>
    <row r="16" spans="1:16" ht="16.5" customHeight="1" x14ac:dyDescent="0.25">
      <c r="A16" s="16"/>
      <c r="B16" s="17"/>
      <c r="C16" s="18"/>
      <c r="D16" s="19" t="str">
        <f>IF(AND(A16&lt;&gt;"",COUNTIF(A16:A515,A16)&gt;1),"⚠️ JÁ PESADO! Peso: "&amp;TEXT(IFERROR(INDEX(B16:B515,MATCH(A16,A16:A515,0)),0),"#,##0.0")&amp;" kg  Lote: "&amp;IFERROR(INDEX(C16:C515,MATCH(A16,A16:A515,0)),"?"),"")</f>
        <v/>
      </c>
    </row>
    <row r="17" spans="1:4" ht="16.5" customHeight="1" x14ac:dyDescent="0.25">
      <c r="A17" s="20"/>
      <c r="B17" s="21"/>
      <c r="C17" s="22"/>
      <c r="D17" s="23" t="str">
        <f>IF(AND(A17&lt;&gt;"",COUNTIF(A16:A515,A17)&gt;1),"⚠️ JÁ PESADO! Peso: "&amp;TEXT(IFERROR(INDEX(B16:B515,MATCH(A17,A16:A515,0)),0),"#,##0.0")&amp;" kg  Lote: "&amp;IFERROR(INDEX(C16:C515,MATCH(A17,A16:A515,0)),"?"),"")</f>
        <v/>
      </c>
    </row>
    <row r="18" spans="1:4" ht="16.5" customHeight="1" x14ac:dyDescent="0.25">
      <c r="A18" s="16"/>
      <c r="B18" s="17"/>
      <c r="C18" s="18"/>
      <c r="D18" s="19" t="str">
        <f>IF(AND(A18&lt;&gt;"",COUNTIF(A16:A515,A18)&gt;1),"⚠️ JÁ PESADO! Peso: "&amp;TEXT(IFERROR(INDEX(B16:B515,MATCH(A18,A16:A515,0)),0),"#,##0.0")&amp;" kg  Lote: "&amp;IFERROR(INDEX(C16:C515,MATCH(A18,A16:A515,0)),"?"),"")</f>
        <v/>
      </c>
    </row>
    <row r="19" spans="1:4" ht="16.5" customHeight="1" x14ac:dyDescent="0.25">
      <c r="A19" s="20"/>
      <c r="B19" s="21"/>
      <c r="C19" s="22"/>
      <c r="D19" s="23" t="str">
        <f>IF(AND(A19&lt;&gt;"",COUNTIF(A16:A515,A19)&gt;1),"⚠️ JÁ PESADO! Peso: "&amp;TEXT(IFERROR(INDEX(B16:B515,MATCH(A19,A16:A515,0)),0),"#,##0.0")&amp;" kg  Lote: "&amp;IFERROR(INDEX(C16:C515,MATCH(A19,A16:A515,0)),"?"),"")</f>
        <v/>
      </c>
    </row>
    <row r="20" spans="1:4" ht="16.5" customHeight="1" x14ac:dyDescent="0.25">
      <c r="A20" s="16"/>
      <c r="B20" s="17"/>
      <c r="C20" s="18"/>
      <c r="D20" s="19" t="str">
        <f>IF(AND(A20&lt;&gt;"",COUNTIF(A16:A515,A20)&gt;1),"⚠️ JÁ PESADO! Peso: "&amp;TEXT(IFERROR(INDEX(B16:B515,MATCH(A20,A16:A515,0)),0),"#,##0.0")&amp;" kg  Lote: "&amp;IFERROR(INDEX(C16:C515,MATCH(A20,A16:A515,0)),"?"),"")</f>
        <v/>
      </c>
    </row>
    <row r="21" spans="1:4" ht="16.5" customHeight="1" x14ac:dyDescent="0.25">
      <c r="A21" s="20"/>
      <c r="B21" s="21"/>
      <c r="C21" s="22"/>
      <c r="D21" s="23" t="str">
        <f>IF(AND(A21&lt;&gt;"",COUNTIF(A16:A515,A21)&gt;1),"⚠️ JÁ PESADO! Peso: "&amp;TEXT(IFERROR(INDEX(B16:B515,MATCH(A21,A16:A515,0)),0),"#,##0.0")&amp;" kg  Lote: "&amp;IFERROR(INDEX(C16:C515,MATCH(A21,A16:A515,0)),"?"),"")</f>
        <v/>
      </c>
    </row>
    <row r="22" spans="1:4" ht="16.5" customHeight="1" x14ac:dyDescent="0.25">
      <c r="A22" s="16"/>
      <c r="B22" s="17"/>
      <c r="C22" s="18"/>
      <c r="D22" s="19" t="str">
        <f>IF(AND(A22&lt;&gt;"",COUNTIF(A16:A515,A22)&gt;1),"⚠️ JÁ PESADO! Peso: "&amp;TEXT(IFERROR(INDEX(B16:B515,MATCH(A22,A16:A515,0)),0),"#,##0.0")&amp;" kg  Lote: "&amp;IFERROR(INDEX(C16:C515,MATCH(A22,A16:A515,0)),"?"),"")</f>
        <v/>
      </c>
    </row>
    <row r="23" spans="1:4" ht="16.5" customHeight="1" x14ac:dyDescent="0.25">
      <c r="A23" s="20"/>
      <c r="B23" s="21"/>
      <c r="C23" s="22"/>
      <c r="D23" s="23" t="str">
        <f>IF(AND(A23&lt;&gt;"",COUNTIF(A16:A515,A23)&gt;1),"⚠️ JÁ PESADO! Peso: "&amp;TEXT(IFERROR(INDEX(B16:B515,MATCH(A23,A16:A515,0)),0),"#,##0.0")&amp;" kg  Lote: "&amp;IFERROR(INDEX(C16:C515,MATCH(A23,A16:A515,0)),"?"),"")</f>
        <v/>
      </c>
    </row>
    <row r="24" spans="1:4" ht="16.5" customHeight="1" x14ac:dyDescent="0.25">
      <c r="A24" s="16"/>
      <c r="B24" s="17"/>
      <c r="C24" s="18"/>
      <c r="D24" s="19" t="str">
        <f>IF(AND(A24&lt;&gt;"",COUNTIF(A16:A515,A24)&gt;1),"⚠️ JÁ PESADO! Peso: "&amp;TEXT(IFERROR(INDEX(B16:B515,MATCH(A24,A16:A515,0)),0),"#,##0.0")&amp;" kg  Lote: "&amp;IFERROR(INDEX(C16:C515,MATCH(A24,A16:A515,0)),"?"),"")</f>
        <v/>
      </c>
    </row>
    <row r="25" spans="1:4" ht="16.5" customHeight="1" x14ac:dyDescent="0.25">
      <c r="A25" s="20"/>
      <c r="B25" s="21"/>
      <c r="C25" s="22"/>
      <c r="D25" s="23" t="str">
        <f>IF(AND(A25&lt;&gt;"",COUNTIF(A16:A515,A25)&gt;1),"⚠️ JÁ PESADO! Peso: "&amp;TEXT(IFERROR(INDEX(B16:B515,MATCH(A25,A16:A515,0)),0),"#,##0.0")&amp;" kg  Lote: "&amp;IFERROR(INDEX(C16:C515,MATCH(A25,A16:A515,0)),"?"),"")</f>
        <v/>
      </c>
    </row>
    <row r="26" spans="1:4" ht="16.5" customHeight="1" x14ac:dyDescent="0.25">
      <c r="A26" s="16"/>
      <c r="B26" s="17"/>
      <c r="C26" s="18"/>
      <c r="D26" s="19" t="str">
        <f>IF(AND(A26&lt;&gt;"",COUNTIF(A16:A515,A26)&gt;1),"⚠️ JÁ PESADO! Peso: "&amp;TEXT(IFERROR(INDEX(B16:B515,MATCH(A26,A16:A515,0)),0),"#,##0.0")&amp;" kg  Lote: "&amp;IFERROR(INDEX(C16:C515,MATCH(A26,A16:A515,0)),"?"),"")</f>
        <v/>
      </c>
    </row>
    <row r="27" spans="1:4" ht="16.5" customHeight="1" x14ac:dyDescent="0.25">
      <c r="A27" s="20"/>
      <c r="B27" s="21"/>
      <c r="C27" s="22"/>
      <c r="D27" s="23" t="str">
        <f>IF(AND(A27&lt;&gt;"",COUNTIF(A16:A515,A27)&gt;1),"⚠️ JÁ PESADO! Peso: "&amp;TEXT(IFERROR(INDEX(B16:B515,MATCH(A27,A16:A515,0)),0),"#,##0.0")&amp;" kg  Lote: "&amp;IFERROR(INDEX(C16:C515,MATCH(A27,A16:A515,0)),"?"),"")</f>
        <v/>
      </c>
    </row>
    <row r="28" spans="1:4" ht="16.5" customHeight="1" x14ac:dyDescent="0.25">
      <c r="A28" s="16"/>
      <c r="B28" s="17"/>
      <c r="C28" s="18"/>
      <c r="D28" s="19" t="str">
        <f>IF(AND(A28&lt;&gt;"",COUNTIF(A16:A515,A28)&gt;1),"⚠️ JÁ PESADO! Peso: "&amp;TEXT(IFERROR(INDEX(B16:B515,MATCH(A28,A16:A515,0)),0),"#,##0.0")&amp;" kg  Lote: "&amp;IFERROR(INDEX(C16:C515,MATCH(A28,A16:A515,0)),"?"),"")</f>
        <v/>
      </c>
    </row>
    <row r="29" spans="1:4" ht="16.5" customHeight="1" x14ac:dyDescent="0.25">
      <c r="A29" s="20"/>
      <c r="B29" s="21"/>
      <c r="C29" s="22"/>
      <c r="D29" s="23" t="str">
        <f>IF(AND(A29&lt;&gt;"",COUNTIF(A16:A515,A29)&gt;1),"⚠️ JÁ PESADO! Peso: "&amp;TEXT(IFERROR(INDEX(B16:B515,MATCH(A29,A16:A515,0)),0),"#,##0.0")&amp;" kg  Lote: "&amp;IFERROR(INDEX(C16:C515,MATCH(A29,A16:A515,0)),"?"),"")</f>
        <v/>
      </c>
    </row>
    <row r="30" spans="1:4" ht="16.5" customHeight="1" x14ac:dyDescent="0.25">
      <c r="A30" s="16"/>
      <c r="B30" s="17"/>
      <c r="C30" s="18"/>
      <c r="D30" s="19" t="str">
        <f>IF(AND(A30&lt;&gt;"",COUNTIF(A16:A515,A30)&gt;1),"⚠️ JÁ PESADO! Peso: "&amp;TEXT(IFERROR(INDEX(B16:B515,MATCH(A30,A16:A515,0)),0),"#,##0.0")&amp;" kg  Lote: "&amp;IFERROR(INDEX(C16:C515,MATCH(A30,A16:A515,0)),"?"),"")</f>
        <v/>
      </c>
    </row>
    <row r="31" spans="1:4" ht="16.5" customHeight="1" x14ac:dyDescent="0.25">
      <c r="A31" s="20"/>
      <c r="B31" s="21"/>
      <c r="C31" s="22"/>
      <c r="D31" s="23" t="str">
        <f>IF(AND(A31&lt;&gt;"",COUNTIF(A16:A515,A31)&gt;1),"⚠️ JÁ PESADO! Peso: "&amp;TEXT(IFERROR(INDEX(B16:B515,MATCH(A31,A16:A515,0)),0),"#,##0.0")&amp;" kg  Lote: "&amp;IFERROR(INDEX(C16:C515,MATCH(A31,A16:A515,0)),"?"),"")</f>
        <v/>
      </c>
    </row>
    <row r="32" spans="1:4" ht="16.5" customHeight="1" x14ac:dyDescent="0.25">
      <c r="A32" s="16"/>
      <c r="B32" s="17"/>
      <c r="C32" s="18"/>
      <c r="D32" s="19" t="str">
        <f>IF(AND(A32&lt;&gt;"",COUNTIF(A16:A515,A32)&gt;1),"⚠️ JÁ PESADO! Peso: "&amp;TEXT(IFERROR(INDEX(B16:B515,MATCH(A32,A16:A515,0)),0),"#,##0.0")&amp;" kg  Lote: "&amp;IFERROR(INDEX(C16:C515,MATCH(A32,A16:A515,0)),"?"),"")</f>
        <v/>
      </c>
    </row>
    <row r="33" spans="1:4" ht="16.5" customHeight="1" x14ac:dyDescent="0.25">
      <c r="A33" s="20"/>
      <c r="B33" s="21"/>
      <c r="C33" s="22"/>
      <c r="D33" s="23" t="str">
        <f>IF(AND(A33&lt;&gt;"",COUNTIF(A16:A515,A33)&gt;1),"⚠️ JÁ PESADO! Peso: "&amp;TEXT(IFERROR(INDEX(B16:B515,MATCH(A33,A16:A515,0)),0),"#,##0.0")&amp;" kg  Lote: "&amp;IFERROR(INDEX(C16:C515,MATCH(A33,A16:A515,0)),"?"),"")</f>
        <v/>
      </c>
    </row>
    <row r="34" spans="1:4" ht="16.5" customHeight="1" x14ac:dyDescent="0.25">
      <c r="A34" s="16"/>
      <c r="B34" s="17"/>
      <c r="C34" s="18"/>
      <c r="D34" s="19" t="str">
        <f>IF(AND(A34&lt;&gt;"",COUNTIF(A16:A515,A34)&gt;1),"⚠️ JÁ PESADO! Peso: "&amp;TEXT(IFERROR(INDEX(B16:B515,MATCH(A34,A16:A515,0)),0),"#,##0.0")&amp;" kg  Lote: "&amp;IFERROR(INDEX(C16:C515,MATCH(A34,A16:A515,0)),"?"),"")</f>
        <v/>
      </c>
    </row>
    <row r="35" spans="1:4" ht="16.5" customHeight="1" x14ac:dyDescent="0.25">
      <c r="A35" s="20"/>
      <c r="B35" s="21"/>
      <c r="C35" s="22"/>
      <c r="D35" s="23" t="str">
        <f>IF(AND(A35&lt;&gt;"",COUNTIF(A16:A515,A35)&gt;1),"⚠️ JÁ PESADO! Peso: "&amp;TEXT(IFERROR(INDEX(B16:B515,MATCH(A35,A16:A515,0)),0),"#,##0.0")&amp;" kg  Lote: "&amp;IFERROR(INDEX(C16:C515,MATCH(A35,A16:A515,0)),"?"),"")</f>
        <v/>
      </c>
    </row>
    <row r="36" spans="1:4" ht="16.5" customHeight="1" x14ac:dyDescent="0.25">
      <c r="A36" s="16"/>
      <c r="B36" s="17"/>
      <c r="C36" s="18"/>
      <c r="D36" s="19" t="str">
        <f>IF(AND(A36&lt;&gt;"",COUNTIF(A16:A515,A36)&gt;1),"⚠️ JÁ PESADO! Peso: "&amp;TEXT(IFERROR(INDEX(B16:B515,MATCH(A36,A16:A515,0)),0),"#,##0.0")&amp;" kg  Lote: "&amp;IFERROR(INDEX(C16:C515,MATCH(A36,A16:A515,0)),"?"),"")</f>
        <v/>
      </c>
    </row>
    <row r="37" spans="1:4" ht="16.5" customHeight="1" x14ac:dyDescent="0.25">
      <c r="A37" s="20"/>
      <c r="B37" s="21"/>
      <c r="C37" s="22"/>
      <c r="D37" s="23" t="str">
        <f>IF(AND(A37&lt;&gt;"",COUNTIF(A16:A515,A37)&gt;1),"⚠️ JÁ PESADO! Peso: "&amp;TEXT(IFERROR(INDEX(B16:B515,MATCH(A37,A16:A515,0)),0),"#,##0.0")&amp;" kg  Lote: "&amp;IFERROR(INDEX(C16:C515,MATCH(A37,A16:A515,0)),"?"),"")</f>
        <v/>
      </c>
    </row>
    <row r="38" spans="1:4" ht="16.5" customHeight="1" x14ac:dyDescent="0.25">
      <c r="A38" s="16"/>
      <c r="B38" s="17"/>
      <c r="C38" s="18"/>
      <c r="D38" s="19" t="str">
        <f>IF(AND(A38&lt;&gt;"",COUNTIF(A16:A515,A38)&gt;1),"⚠️ JÁ PESADO! Peso: "&amp;TEXT(IFERROR(INDEX(B16:B515,MATCH(A38,A16:A515,0)),0),"#,##0.0")&amp;" kg  Lote: "&amp;IFERROR(INDEX(C16:C515,MATCH(A38,A16:A515,0)),"?"),"")</f>
        <v/>
      </c>
    </row>
    <row r="39" spans="1:4" ht="16.5" customHeight="1" x14ac:dyDescent="0.25">
      <c r="A39" s="20"/>
      <c r="B39" s="21"/>
      <c r="C39" s="22"/>
      <c r="D39" s="23" t="str">
        <f>IF(AND(A39&lt;&gt;"",COUNTIF(A16:A515,A39)&gt;1),"⚠️ JÁ PESADO! Peso: "&amp;TEXT(IFERROR(INDEX(B16:B515,MATCH(A39,A16:A515,0)),0),"#,##0.0")&amp;" kg  Lote: "&amp;IFERROR(INDEX(C16:C515,MATCH(A39,A16:A515,0)),"?"),"")</f>
        <v/>
      </c>
    </row>
    <row r="40" spans="1:4" ht="16.5" customHeight="1" x14ac:dyDescent="0.25">
      <c r="A40" s="16"/>
      <c r="B40" s="17"/>
      <c r="C40" s="18"/>
      <c r="D40" s="19" t="str">
        <f>IF(AND(A40&lt;&gt;"",COUNTIF(A16:A515,A40)&gt;1),"⚠️ JÁ PESADO! Peso: "&amp;TEXT(IFERROR(INDEX(B16:B515,MATCH(A40,A16:A515,0)),0),"#,##0.0")&amp;" kg  Lote: "&amp;IFERROR(INDEX(C16:C515,MATCH(A40,A16:A515,0)),"?"),"")</f>
        <v/>
      </c>
    </row>
    <row r="41" spans="1:4" ht="16.5" customHeight="1" x14ac:dyDescent="0.25">
      <c r="A41" s="20"/>
      <c r="B41" s="21"/>
      <c r="C41" s="22"/>
      <c r="D41" s="23" t="str">
        <f>IF(AND(A41&lt;&gt;"",COUNTIF(A16:A515,A41)&gt;1),"⚠️ JÁ PESADO! Peso: "&amp;TEXT(IFERROR(INDEX(B16:B515,MATCH(A41,A16:A515,0)),0),"#,##0.0")&amp;" kg  Lote: "&amp;IFERROR(INDEX(C16:C515,MATCH(A41,A16:A515,0)),"?"),"")</f>
        <v/>
      </c>
    </row>
    <row r="42" spans="1:4" ht="16.5" customHeight="1" x14ac:dyDescent="0.25">
      <c r="A42" s="16"/>
      <c r="B42" s="17"/>
      <c r="C42" s="18"/>
      <c r="D42" s="19" t="str">
        <f>IF(AND(A42&lt;&gt;"",COUNTIF(A16:A515,A42)&gt;1),"⚠️ JÁ PESADO! Peso: "&amp;TEXT(IFERROR(INDEX(B16:B515,MATCH(A42,A16:A515,0)),0),"#,##0.0")&amp;" kg  Lote: "&amp;IFERROR(INDEX(C16:C515,MATCH(A42,A16:A515,0)),"?"),"")</f>
        <v/>
      </c>
    </row>
    <row r="43" spans="1:4" ht="16.5" customHeight="1" x14ac:dyDescent="0.25">
      <c r="A43" s="20"/>
      <c r="B43" s="21"/>
      <c r="C43" s="22"/>
      <c r="D43" s="23" t="str">
        <f>IF(AND(A43&lt;&gt;"",COUNTIF(A16:A515,A43)&gt;1),"⚠️ JÁ PESADO! Peso: "&amp;TEXT(IFERROR(INDEX(B16:B515,MATCH(A43,A16:A515,0)),0),"#,##0.0")&amp;" kg  Lote: "&amp;IFERROR(INDEX(C16:C515,MATCH(A43,A16:A515,0)),"?"),"")</f>
        <v/>
      </c>
    </row>
    <row r="44" spans="1:4" ht="16.5" customHeight="1" x14ac:dyDescent="0.25">
      <c r="A44" s="16"/>
      <c r="B44" s="17"/>
      <c r="C44" s="18"/>
      <c r="D44" s="19" t="str">
        <f>IF(AND(A44&lt;&gt;"",COUNTIF(A16:A515,A44)&gt;1),"⚠️ JÁ PESADO! Peso: "&amp;TEXT(IFERROR(INDEX(B16:B515,MATCH(A44,A16:A515,0)),0),"#,##0.0")&amp;" kg  Lote: "&amp;IFERROR(INDEX(C16:C515,MATCH(A44,A16:A515,0)),"?"),"")</f>
        <v/>
      </c>
    </row>
    <row r="45" spans="1:4" ht="16.5" customHeight="1" x14ac:dyDescent="0.25">
      <c r="A45" s="20"/>
      <c r="B45" s="21"/>
      <c r="C45" s="22"/>
      <c r="D45" s="23" t="str">
        <f>IF(AND(A45&lt;&gt;"",COUNTIF(A16:A515,A45)&gt;1),"⚠️ JÁ PESADO! Peso: "&amp;TEXT(IFERROR(INDEX(B16:B515,MATCH(A45,A16:A515,0)),0),"#,##0.0")&amp;" kg  Lote: "&amp;IFERROR(INDEX(C16:C515,MATCH(A45,A16:A515,0)),"?"),"")</f>
        <v/>
      </c>
    </row>
    <row r="46" spans="1:4" ht="16.5" customHeight="1" x14ac:dyDescent="0.25">
      <c r="A46" s="16"/>
      <c r="B46" s="17"/>
      <c r="C46" s="18"/>
      <c r="D46" s="19" t="str">
        <f>IF(AND(A46&lt;&gt;"",COUNTIF(A16:A515,A46)&gt;1),"⚠️ JÁ PESADO! Peso: "&amp;TEXT(IFERROR(INDEX(B16:B515,MATCH(A46,A16:A515,0)),0),"#,##0.0")&amp;" kg  Lote: "&amp;IFERROR(INDEX(C16:C515,MATCH(A46,A16:A515,0)),"?"),"")</f>
        <v/>
      </c>
    </row>
    <row r="47" spans="1:4" ht="16.5" customHeight="1" x14ac:dyDescent="0.25">
      <c r="A47" s="20"/>
      <c r="B47" s="21"/>
      <c r="C47" s="22"/>
      <c r="D47" s="23" t="str">
        <f>IF(AND(A47&lt;&gt;"",COUNTIF(A16:A515,A47)&gt;1),"⚠️ JÁ PESADO! Peso: "&amp;TEXT(IFERROR(INDEX(B16:B515,MATCH(A47,A16:A515,0)),0),"#,##0.0")&amp;" kg  Lote: "&amp;IFERROR(INDEX(C16:C515,MATCH(A47,A16:A515,0)),"?"),"")</f>
        <v/>
      </c>
    </row>
    <row r="48" spans="1:4" ht="16.5" customHeight="1" x14ac:dyDescent="0.25">
      <c r="A48" s="16"/>
      <c r="B48" s="17"/>
      <c r="C48" s="18"/>
      <c r="D48" s="19" t="str">
        <f>IF(AND(A48&lt;&gt;"",COUNTIF(A16:A515,A48)&gt;1),"⚠️ JÁ PESADO! Peso: "&amp;TEXT(IFERROR(INDEX(B16:B515,MATCH(A48,A16:A515,0)),0),"#,##0.0")&amp;" kg  Lote: "&amp;IFERROR(INDEX(C16:C515,MATCH(A48,A16:A515,0)),"?"),"")</f>
        <v/>
      </c>
    </row>
    <row r="49" spans="1:4" ht="16.5" customHeight="1" x14ac:dyDescent="0.25">
      <c r="A49" s="20"/>
      <c r="B49" s="21"/>
      <c r="C49" s="22"/>
      <c r="D49" s="23" t="str">
        <f>IF(AND(A49&lt;&gt;"",COUNTIF(A16:A515,A49)&gt;1),"⚠️ JÁ PESADO! Peso: "&amp;TEXT(IFERROR(INDEX(B16:B515,MATCH(A49,A16:A515,0)),0),"#,##0.0")&amp;" kg  Lote: "&amp;IFERROR(INDEX(C16:C515,MATCH(A49,A16:A515,0)),"?"),"")</f>
        <v/>
      </c>
    </row>
    <row r="50" spans="1:4" ht="16.5" customHeight="1" x14ac:dyDescent="0.25">
      <c r="A50" s="16"/>
      <c r="B50" s="17"/>
      <c r="C50" s="18"/>
      <c r="D50" s="19" t="str">
        <f>IF(AND(A50&lt;&gt;"",COUNTIF(A16:A515,A50)&gt;1),"⚠️ JÁ PESADO! Peso: "&amp;TEXT(IFERROR(INDEX(B16:B515,MATCH(A50,A16:A515,0)),0),"#,##0.0")&amp;" kg  Lote: "&amp;IFERROR(INDEX(C16:C515,MATCH(A50,A16:A515,0)),"?"),"")</f>
        <v/>
      </c>
    </row>
    <row r="51" spans="1:4" ht="16.5" customHeight="1" x14ac:dyDescent="0.25">
      <c r="A51" s="20"/>
      <c r="B51" s="21"/>
      <c r="C51" s="22"/>
      <c r="D51" s="23" t="str">
        <f>IF(AND(A51&lt;&gt;"",COUNTIF(A16:A515,A51)&gt;1),"⚠️ JÁ PESADO! Peso: "&amp;TEXT(IFERROR(INDEX(B16:B515,MATCH(A51,A16:A515,0)),0),"#,##0.0")&amp;" kg  Lote: "&amp;IFERROR(INDEX(C16:C515,MATCH(A51,A16:A515,0)),"?"),"")</f>
        <v/>
      </c>
    </row>
    <row r="52" spans="1:4" ht="16.5" customHeight="1" x14ac:dyDescent="0.25">
      <c r="A52" s="16"/>
      <c r="B52" s="17"/>
      <c r="C52" s="18"/>
      <c r="D52" s="19" t="str">
        <f>IF(AND(A52&lt;&gt;"",COUNTIF(A16:A515,A52)&gt;1),"⚠️ JÁ PESADO! Peso: "&amp;TEXT(IFERROR(INDEX(B16:B515,MATCH(A52,A16:A515,0)),0),"#,##0.0")&amp;" kg  Lote: "&amp;IFERROR(INDEX(C16:C515,MATCH(A52,A16:A515,0)),"?"),"")</f>
        <v/>
      </c>
    </row>
    <row r="53" spans="1:4" ht="16.5" customHeight="1" x14ac:dyDescent="0.25">
      <c r="A53" s="20"/>
      <c r="B53" s="21"/>
      <c r="C53" s="22"/>
      <c r="D53" s="23" t="str">
        <f>IF(AND(A53&lt;&gt;"",COUNTIF(A16:A515,A53)&gt;1),"⚠️ JÁ PESADO! Peso: "&amp;TEXT(IFERROR(INDEX(B16:B515,MATCH(A53,A16:A515,0)),0),"#,##0.0")&amp;" kg  Lote: "&amp;IFERROR(INDEX(C16:C515,MATCH(A53,A16:A515,0)),"?"),"")</f>
        <v/>
      </c>
    </row>
    <row r="54" spans="1:4" ht="16.5" customHeight="1" x14ac:dyDescent="0.25">
      <c r="A54" s="16"/>
      <c r="B54" s="17"/>
      <c r="C54" s="18"/>
      <c r="D54" s="19" t="str">
        <f>IF(AND(A54&lt;&gt;"",COUNTIF(A16:A515,A54)&gt;1),"⚠️ JÁ PESADO! Peso: "&amp;TEXT(IFERROR(INDEX(B16:B515,MATCH(A54,A16:A515,0)),0),"#,##0.0")&amp;" kg  Lote: "&amp;IFERROR(INDEX(C16:C515,MATCH(A54,A16:A515,0)),"?"),"")</f>
        <v/>
      </c>
    </row>
    <row r="55" spans="1:4" ht="16.5" customHeight="1" x14ac:dyDescent="0.25">
      <c r="A55" s="20"/>
      <c r="B55" s="21"/>
      <c r="C55" s="22"/>
      <c r="D55" s="23" t="str">
        <f>IF(AND(A55&lt;&gt;"",COUNTIF(A16:A515,A55)&gt;1),"⚠️ JÁ PESADO! Peso: "&amp;TEXT(IFERROR(INDEX(B16:B515,MATCH(A55,A16:A515,0)),0),"#,##0.0")&amp;" kg  Lote: "&amp;IFERROR(INDEX(C16:C515,MATCH(A55,A16:A515,0)),"?"),"")</f>
        <v/>
      </c>
    </row>
    <row r="56" spans="1:4" ht="16.5" customHeight="1" x14ac:dyDescent="0.25">
      <c r="A56" s="16"/>
      <c r="B56" s="17"/>
      <c r="C56" s="18"/>
      <c r="D56" s="19" t="str">
        <f>IF(AND(A56&lt;&gt;"",COUNTIF(A16:A515,A56)&gt;1),"⚠️ JÁ PESADO! Peso: "&amp;TEXT(IFERROR(INDEX(B16:B515,MATCH(A56,A16:A515,0)),0),"#,##0.0")&amp;" kg  Lote: "&amp;IFERROR(INDEX(C16:C515,MATCH(A56,A16:A515,0)),"?"),"")</f>
        <v/>
      </c>
    </row>
    <row r="57" spans="1:4" ht="16.5" customHeight="1" x14ac:dyDescent="0.25">
      <c r="A57" s="20"/>
      <c r="B57" s="21"/>
      <c r="C57" s="22"/>
      <c r="D57" s="23" t="str">
        <f>IF(AND(A57&lt;&gt;"",COUNTIF(A16:A515,A57)&gt;1),"⚠️ JÁ PESADO! Peso: "&amp;TEXT(IFERROR(INDEX(B16:B515,MATCH(A57,A16:A515,0)),0),"#,##0.0")&amp;" kg  Lote: "&amp;IFERROR(INDEX(C16:C515,MATCH(A57,A16:A515,0)),"?"),"")</f>
        <v/>
      </c>
    </row>
    <row r="58" spans="1:4" ht="16.5" customHeight="1" x14ac:dyDescent="0.25">
      <c r="A58" s="16"/>
      <c r="B58" s="17"/>
      <c r="C58" s="18"/>
      <c r="D58" s="19" t="str">
        <f>IF(AND(A58&lt;&gt;"",COUNTIF(A16:A515,A58)&gt;1),"⚠️ JÁ PESADO! Peso: "&amp;TEXT(IFERROR(INDEX(B16:B515,MATCH(A58,A16:A515,0)),0),"#,##0.0")&amp;" kg  Lote: "&amp;IFERROR(INDEX(C16:C515,MATCH(A58,A16:A515,0)),"?"),"")</f>
        <v/>
      </c>
    </row>
    <row r="59" spans="1:4" ht="16.5" customHeight="1" x14ac:dyDescent="0.25">
      <c r="A59" s="20"/>
      <c r="B59" s="21"/>
      <c r="C59" s="22"/>
      <c r="D59" s="23" t="str">
        <f>IF(AND(A59&lt;&gt;"",COUNTIF(A16:A515,A59)&gt;1),"⚠️ JÁ PESADO! Peso: "&amp;TEXT(IFERROR(INDEX(B16:B515,MATCH(A59,A16:A515,0)),0),"#,##0.0")&amp;" kg  Lote: "&amp;IFERROR(INDEX(C16:C515,MATCH(A59,A16:A515,0)),"?"),"")</f>
        <v/>
      </c>
    </row>
    <row r="60" spans="1:4" ht="16.5" customHeight="1" x14ac:dyDescent="0.25">
      <c r="A60" s="16"/>
      <c r="B60" s="17"/>
      <c r="C60" s="18"/>
      <c r="D60" s="19" t="str">
        <f>IF(AND(A60&lt;&gt;"",COUNTIF(A16:A515,A60)&gt;1),"⚠️ JÁ PESADO! Peso: "&amp;TEXT(IFERROR(INDEX(B16:B515,MATCH(A60,A16:A515,0)),0),"#,##0.0")&amp;" kg  Lote: "&amp;IFERROR(INDEX(C16:C515,MATCH(A60,A16:A515,0)),"?"),"")</f>
        <v/>
      </c>
    </row>
    <row r="61" spans="1:4" ht="16.5" customHeight="1" x14ac:dyDescent="0.25">
      <c r="A61" s="20"/>
      <c r="B61" s="21"/>
      <c r="C61" s="22"/>
      <c r="D61" s="23" t="str">
        <f>IF(AND(A61&lt;&gt;"",COUNTIF(A16:A515,A61)&gt;1),"⚠️ JÁ PESADO! Peso: "&amp;TEXT(IFERROR(INDEX(B16:B515,MATCH(A61,A16:A515,0)),0),"#,##0.0")&amp;" kg  Lote: "&amp;IFERROR(INDEX(C16:C515,MATCH(A61,A16:A515,0)),"?"),"")</f>
        <v/>
      </c>
    </row>
    <row r="62" spans="1:4" ht="16.5" customHeight="1" x14ac:dyDescent="0.25">
      <c r="A62" s="16"/>
      <c r="B62" s="17"/>
      <c r="C62" s="18"/>
      <c r="D62" s="19" t="str">
        <f>IF(AND(A62&lt;&gt;"",COUNTIF(A16:A515,A62)&gt;1),"⚠️ JÁ PESADO! Peso: "&amp;TEXT(IFERROR(INDEX(B16:B515,MATCH(A62,A16:A515,0)),0),"#,##0.0")&amp;" kg  Lote: "&amp;IFERROR(INDEX(C16:C515,MATCH(A62,A16:A515,0)),"?"),"")</f>
        <v/>
      </c>
    </row>
    <row r="63" spans="1:4" ht="16.5" customHeight="1" x14ac:dyDescent="0.25">
      <c r="A63" s="20"/>
      <c r="B63" s="21"/>
      <c r="C63" s="22"/>
      <c r="D63" s="23" t="str">
        <f>IF(AND(A63&lt;&gt;"",COUNTIF(A16:A515,A63)&gt;1),"⚠️ JÁ PESADO! Peso: "&amp;TEXT(IFERROR(INDEX(B16:B515,MATCH(A63,A16:A515,0)),0),"#,##0.0")&amp;" kg  Lote: "&amp;IFERROR(INDEX(C16:C515,MATCH(A63,A16:A515,0)),"?"),"")</f>
        <v/>
      </c>
    </row>
    <row r="64" spans="1:4" ht="16.5" customHeight="1" x14ac:dyDescent="0.25">
      <c r="A64" s="16"/>
      <c r="B64" s="17"/>
      <c r="C64" s="18"/>
      <c r="D64" s="19" t="str">
        <f>IF(AND(A64&lt;&gt;"",COUNTIF(A16:A515,A64)&gt;1),"⚠️ JÁ PESADO! Peso: "&amp;TEXT(IFERROR(INDEX(B16:B515,MATCH(A64,A16:A515,0)),0),"#,##0.0")&amp;" kg  Lote: "&amp;IFERROR(INDEX(C16:C515,MATCH(A64,A16:A515,0)),"?"),"")</f>
        <v/>
      </c>
    </row>
    <row r="65" spans="1:4" ht="16.5" customHeight="1" x14ac:dyDescent="0.25">
      <c r="A65" s="20"/>
      <c r="B65" s="21"/>
      <c r="C65" s="22"/>
      <c r="D65" s="23" t="str">
        <f>IF(AND(A65&lt;&gt;"",COUNTIF(A16:A515,A65)&gt;1),"⚠️ JÁ PESADO! Peso: "&amp;TEXT(IFERROR(INDEX(B16:B515,MATCH(A65,A16:A515,0)),0),"#,##0.0")&amp;" kg  Lote: "&amp;IFERROR(INDEX(C16:C515,MATCH(A65,A16:A515,0)),"?"),"")</f>
        <v/>
      </c>
    </row>
    <row r="66" spans="1:4" ht="16.5" customHeight="1" x14ac:dyDescent="0.25">
      <c r="A66" s="16"/>
      <c r="B66" s="17"/>
      <c r="C66" s="18"/>
      <c r="D66" s="19" t="str">
        <f>IF(AND(A66&lt;&gt;"",COUNTIF(A16:A515,A66)&gt;1),"⚠️ JÁ PESADO! Peso: "&amp;TEXT(IFERROR(INDEX(B16:B515,MATCH(A66,A16:A515,0)),0),"#,##0.0")&amp;" kg  Lote: "&amp;IFERROR(INDEX(C16:C515,MATCH(A66,A16:A515,0)),"?"),"")</f>
        <v/>
      </c>
    </row>
    <row r="67" spans="1:4" ht="16.5" customHeight="1" x14ac:dyDescent="0.25">
      <c r="A67" s="20"/>
      <c r="B67" s="21"/>
      <c r="C67" s="22"/>
      <c r="D67" s="23" t="str">
        <f>IF(AND(A67&lt;&gt;"",COUNTIF(A16:A515,A67)&gt;1),"⚠️ JÁ PESADO! Peso: "&amp;TEXT(IFERROR(INDEX(B16:B515,MATCH(A67,A16:A515,0)),0),"#,##0.0")&amp;" kg  Lote: "&amp;IFERROR(INDEX(C16:C515,MATCH(A67,A16:A515,0)),"?"),"")</f>
        <v/>
      </c>
    </row>
    <row r="68" spans="1:4" ht="16.5" customHeight="1" x14ac:dyDescent="0.25">
      <c r="A68" s="16"/>
      <c r="B68" s="17"/>
      <c r="C68" s="18"/>
      <c r="D68" s="19" t="str">
        <f>IF(AND(A68&lt;&gt;"",COUNTIF(A16:A515,A68)&gt;1),"⚠️ JÁ PESADO! Peso: "&amp;TEXT(IFERROR(INDEX(B16:B515,MATCH(A68,A16:A515,0)),0),"#,##0.0")&amp;" kg  Lote: "&amp;IFERROR(INDEX(C16:C515,MATCH(A68,A16:A515,0)),"?"),"")</f>
        <v/>
      </c>
    </row>
    <row r="69" spans="1:4" ht="16.5" customHeight="1" x14ac:dyDescent="0.25">
      <c r="A69" s="20"/>
      <c r="B69" s="21"/>
      <c r="C69" s="22"/>
      <c r="D69" s="23" t="str">
        <f>IF(AND(A69&lt;&gt;"",COUNTIF(A16:A515,A69)&gt;1),"⚠️ JÁ PESADO! Peso: "&amp;TEXT(IFERROR(INDEX(B16:B515,MATCH(A69,A16:A515,0)),0),"#,##0.0")&amp;" kg  Lote: "&amp;IFERROR(INDEX(C16:C515,MATCH(A69,A16:A515,0)),"?"),"")</f>
        <v/>
      </c>
    </row>
    <row r="70" spans="1:4" ht="16.5" customHeight="1" x14ac:dyDescent="0.25">
      <c r="A70" s="16"/>
      <c r="B70" s="17"/>
      <c r="C70" s="18"/>
      <c r="D70" s="19" t="str">
        <f>IF(AND(A70&lt;&gt;"",COUNTIF(A16:A515,A70)&gt;1),"⚠️ JÁ PESADO! Peso: "&amp;TEXT(IFERROR(INDEX(B16:B515,MATCH(A70,A16:A515,0)),0),"#,##0.0")&amp;" kg  Lote: "&amp;IFERROR(INDEX(C16:C515,MATCH(A70,A16:A515,0)),"?"),"")</f>
        <v/>
      </c>
    </row>
    <row r="71" spans="1:4" ht="16.5" customHeight="1" x14ac:dyDescent="0.25">
      <c r="A71" s="20"/>
      <c r="B71" s="21"/>
      <c r="C71" s="22"/>
      <c r="D71" s="23" t="str">
        <f>IF(AND(A71&lt;&gt;"",COUNTIF(A16:A515,A71)&gt;1),"⚠️ JÁ PESADO! Peso: "&amp;TEXT(IFERROR(INDEX(B16:B515,MATCH(A71,A16:A515,0)),0),"#,##0.0")&amp;" kg  Lote: "&amp;IFERROR(INDEX(C16:C515,MATCH(A71,A16:A515,0)),"?"),"")</f>
        <v/>
      </c>
    </row>
    <row r="72" spans="1:4" ht="16.5" customHeight="1" x14ac:dyDescent="0.25">
      <c r="A72" s="16"/>
      <c r="B72" s="17"/>
      <c r="C72" s="18"/>
      <c r="D72" s="19" t="str">
        <f>IF(AND(A72&lt;&gt;"",COUNTIF(A16:A515,A72)&gt;1),"⚠️ JÁ PESADO! Peso: "&amp;TEXT(IFERROR(INDEX(B16:B515,MATCH(A72,A16:A515,0)),0),"#,##0.0")&amp;" kg  Lote: "&amp;IFERROR(INDEX(C16:C515,MATCH(A72,A16:A515,0)),"?"),"")</f>
        <v/>
      </c>
    </row>
    <row r="73" spans="1:4" ht="16.5" customHeight="1" x14ac:dyDescent="0.25">
      <c r="A73" s="20"/>
      <c r="B73" s="21"/>
      <c r="C73" s="22"/>
      <c r="D73" s="23" t="str">
        <f>IF(AND(A73&lt;&gt;"",COUNTIF(A16:A515,A73)&gt;1),"⚠️ JÁ PESADO! Peso: "&amp;TEXT(IFERROR(INDEX(B16:B515,MATCH(A73,A16:A515,0)),0),"#,##0.0")&amp;" kg  Lote: "&amp;IFERROR(INDEX(C16:C515,MATCH(A73,A16:A515,0)),"?"),"")</f>
        <v/>
      </c>
    </row>
    <row r="74" spans="1:4" ht="16.5" customHeight="1" x14ac:dyDescent="0.25">
      <c r="A74" s="16"/>
      <c r="B74" s="17"/>
      <c r="C74" s="18"/>
      <c r="D74" s="19" t="str">
        <f>IF(AND(A74&lt;&gt;"",COUNTIF(A16:A515,A74)&gt;1),"⚠️ JÁ PESADO! Peso: "&amp;TEXT(IFERROR(INDEX(B16:B515,MATCH(A74,A16:A515,0)),0),"#,##0.0")&amp;" kg  Lote: "&amp;IFERROR(INDEX(C16:C515,MATCH(A74,A16:A515,0)),"?"),"")</f>
        <v/>
      </c>
    </row>
    <row r="75" spans="1:4" ht="16.5" customHeight="1" x14ac:dyDescent="0.25">
      <c r="A75" s="20"/>
      <c r="B75" s="21"/>
      <c r="C75" s="22"/>
      <c r="D75" s="23" t="str">
        <f>IF(AND(A75&lt;&gt;"",COUNTIF(A16:A515,A75)&gt;1),"⚠️ JÁ PESADO! Peso: "&amp;TEXT(IFERROR(INDEX(B16:B515,MATCH(A75,A16:A515,0)),0),"#,##0.0")&amp;" kg  Lote: "&amp;IFERROR(INDEX(C16:C515,MATCH(A75,A16:A515,0)),"?"),"")</f>
        <v/>
      </c>
    </row>
    <row r="76" spans="1:4" ht="16.5" customHeight="1" x14ac:dyDescent="0.25">
      <c r="A76" s="16"/>
      <c r="B76" s="17"/>
      <c r="C76" s="18"/>
      <c r="D76" s="19" t="str">
        <f>IF(AND(A76&lt;&gt;"",COUNTIF(A16:A515,A76)&gt;1),"⚠️ JÁ PESADO! Peso: "&amp;TEXT(IFERROR(INDEX(B16:B515,MATCH(A76,A16:A515,0)),0),"#,##0.0")&amp;" kg  Lote: "&amp;IFERROR(INDEX(C16:C515,MATCH(A76,A16:A515,0)),"?"),"")</f>
        <v/>
      </c>
    </row>
    <row r="77" spans="1:4" ht="16.5" customHeight="1" x14ac:dyDescent="0.25">
      <c r="A77" s="20"/>
      <c r="B77" s="21"/>
      <c r="C77" s="22"/>
      <c r="D77" s="23" t="str">
        <f>IF(AND(A77&lt;&gt;"",COUNTIF(A16:A515,A77)&gt;1),"⚠️ JÁ PESADO! Peso: "&amp;TEXT(IFERROR(INDEX(B16:B515,MATCH(A77,A16:A515,0)),0),"#,##0.0")&amp;" kg  Lote: "&amp;IFERROR(INDEX(C16:C515,MATCH(A77,A16:A515,0)),"?"),"")</f>
        <v/>
      </c>
    </row>
    <row r="78" spans="1:4" ht="16.5" customHeight="1" x14ac:dyDescent="0.25">
      <c r="A78" s="16"/>
      <c r="B78" s="17"/>
      <c r="C78" s="18"/>
      <c r="D78" s="19" t="str">
        <f>IF(AND(A78&lt;&gt;"",COUNTIF(A16:A515,A78)&gt;1),"⚠️ JÁ PESADO! Peso: "&amp;TEXT(IFERROR(INDEX(B16:B515,MATCH(A78,A16:A515,0)),0),"#,##0.0")&amp;" kg  Lote: "&amp;IFERROR(INDEX(C16:C515,MATCH(A78,A16:A515,0)),"?"),"")</f>
        <v/>
      </c>
    </row>
    <row r="79" spans="1:4" ht="16.5" customHeight="1" x14ac:dyDescent="0.25">
      <c r="A79" s="20"/>
      <c r="B79" s="21"/>
      <c r="C79" s="22"/>
      <c r="D79" s="23" t="str">
        <f>IF(AND(A79&lt;&gt;"",COUNTIF(A16:A515,A79)&gt;1),"⚠️ JÁ PESADO! Peso: "&amp;TEXT(IFERROR(INDEX(B16:B515,MATCH(A79,A16:A515,0)),0),"#,##0.0")&amp;" kg  Lote: "&amp;IFERROR(INDEX(C16:C515,MATCH(A79,A16:A515,0)),"?"),"")</f>
        <v/>
      </c>
    </row>
    <row r="80" spans="1:4" ht="16.5" customHeight="1" x14ac:dyDescent="0.25">
      <c r="A80" s="16"/>
      <c r="B80" s="17"/>
      <c r="C80" s="18"/>
      <c r="D80" s="19" t="str">
        <f>IF(AND(A80&lt;&gt;"",COUNTIF(A16:A515,A80)&gt;1),"⚠️ JÁ PESADO! Peso: "&amp;TEXT(IFERROR(INDEX(B16:B515,MATCH(A80,A16:A515,0)),0),"#,##0.0")&amp;" kg  Lote: "&amp;IFERROR(INDEX(C16:C515,MATCH(A80,A16:A515,0)),"?"),"")</f>
        <v/>
      </c>
    </row>
    <row r="81" spans="1:4" ht="16.5" customHeight="1" x14ac:dyDescent="0.25">
      <c r="A81" s="20"/>
      <c r="B81" s="21"/>
      <c r="C81" s="22"/>
      <c r="D81" s="23" t="str">
        <f>IF(AND(A81&lt;&gt;"",COUNTIF(A16:A515,A81)&gt;1),"⚠️ JÁ PESADO! Peso: "&amp;TEXT(IFERROR(INDEX(B16:B515,MATCH(A81,A16:A515,0)),0),"#,##0.0")&amp;" kg  Lote: "&amp;IFERROR(INDEX(C16:C515,MATCH(A81,A16:A515,0)),"?"),"")</f>
        <v/>
      </c>
    </row>
    <row r="82" spans="1:4" ht="16.5" customHeight="1" x14ac:dyDescent="0.25">
      <c r="A82" s="16"/>
      <c r="B82" s="17"/>
      <c r="C82" s="18"/>
      <c r="D82" s="19" t="str">
        <f>IF(AND(A82&lt;&gt;"",COUNTIF(A16:A515,A82)&gt;1),"⚠️ JÁ PESADO! Peso: "&amp;TEXT(IFERROR(INDEX(B16:B515,MATCH(A82,A16:A515,0)),0),"#,##0.0")&amp;" kg  Lote: "&amp;IFERROR(INDEX(C16:C515,MATCH(A82,A16:A515,0)),"?"),"")</f>
        <v/>
      </c>
    </row>
    <row r="83" spans="1:4" ht="16.5" customHeight="1" x14ac:dyDescent="0.25">
      <c r="A83" s="20"/>
      <c r="B83" s="21"/>
      <c r="C83" s="22"/>
      <c r="D83" s="23" t="str">
        <f>IF(AND(A83&lt;&gt;"",COUNTIF(A16:A515,A83)&gt;1),"⚠️ JÁ PESADO! Peso: "&amp;TEXT(IFERROR(INDEX(B16:B515,MATCH(A83,A16:A515,0)),0),"#,##0.0")&amp;" kg  Lote: "&amp;IFERROR(INDEX(C16:C515,MATCH(A83,A16:A515,0)),"?"),"")</f>
        <v/>
      </c>
    </row>
    <row r="84" spans="1:4" ht="16.5" customHeight="1" x14ac:dyDescent="0.25">
      <c r="A84" s="16"/>
      <c r="B84" s="17"/>
      <c r="C84" s="18"/>
      <c r="D84" s="19" t="str">
        <f>IF(AND(A84&lt;&gt;"",COUNTIF(A16:A515,A84)&gt;1),"⚠️ JÁ PESADO! Peso: "&amp;TEXT(IFERROR(INDEX(B16:B515,MATCH(A84,A16:A515,0)),0),"#,##0.0")&amp;" kg  Lote: "&amp;IFERROR(INDEX(C16:C515,MATCH(A84,A16:A515,0)),"?"),"")</f>
        <v/>
      </c>
    </row>
    <row r="85" spans="1:4" ht="16.5" customHeight="1" x14ac:dyDescent="0.25">
      <c r="A85" s="20"/>
      <c r="B85" s="21"/>
      <c r="C85" s="22"/>
      <c r="D85" s="23" t="str">
        <f>IF(AND(A85&lt;&gt;"",COUNTIF(A16:A515,A85)&gt;1),"⚠️ JÁ PESADO! Peso: "&amp;TEXT(IFERROR(INDEX(B16:B515,MATCH(A85,A16:A515,0)),0),"#,##0.0")&amp;" kg  Lote: "&amp;IFERROR(INDEX(C16:C515,MATCH(A85,A16:A515,0)),"?"),"")</f>
        <v/>
      </c>
    </row>
    <row r="86" spans="1:4" ht="16.5" customHeight="1" x14ac:dyDescent="0.25">
      <c r="A86" s="16"/>
      <c r="B86" s="17"/>
      <c r="C86" s="18"/>
      <c r="D86" s="19" t="str">
        <f>IF(AND(A86&lt;&gt;"",COUNTIF(A16:A515,A86)&gt;1),"⚠️ JÁ PESADO! Peso: "&amp;TEXT(IFERROR(INDEX(B16:B515,MATCH(A86,A16:A515,0)),0),"#,##0.0")&amp;" kg  Lote: "&amp;IFERROR(INDEX(C16:C515,MATCH(A86,A16:A515,0)),"?"),"")</f>
        <v/>
      </c>
    </row>
    <row r="87" spans="1:4" ht="16.5" customHeight="1" x14ac:dyDescent="0.25">
      <c r="A87" s="20"/>
      <c r="B87" s="21"/>
      <c r="C87" s="22"/>
      <c r="D87" s="23" t="str">
        <f>IF(AND(A87&lt;&gt;"",COUNTIF(A16:A515,A87)&gt;1),"⚠️ JÁ PESADO! Peso: "&amp;TEXT(IFERROR(INDEX(B16:B515,MATCH(A87,A16:A515,0)),0),"#,##0.0")&amp;" kg  Lote: "&amp;IFERROR(INDEX(C16:C515,MATCH(A87,A16:A515,0)),"?"),"")</f>
        <v/>
      </c>
    </row>
    <row r="88" spans="1:4" ht="16.5" customHeight="1" x14ac:dyDescent="0.25">
      <c r="A88" s="16"/>
      <c r="B88" s="17"/>
      <c r="C88" s="18"/>
      <c r="D88" s="19" t="str">
        <f>IF(AND(A88&lt;&gt;"",COUNTIF(A16:A515,A88)&gt;1),"⚠️ JÁ PESADO! Peso: "&amp;TEXT(IFERROR(INDEX(B16:B515,MATCH(A88,A16:A515,0)),0),"#,##0.0")&amp;" kg  Lote: "&amp;IFERROR(INDEX(C16:C515,MATCH(A88,A16:A515,0)),"?"),"")</f>
        <v/>
      </c>
    </row>
    <row r="89" spans="1:4" ht="16.5" customHeight="1" x14ac:dyDescent="0.25">
      <c r="A89" s="20"/>
      <c r="B89" s="21"/>
      <c r="C89" s="22"/>
      <c r="D89" s="23" t="str">
        <f>IF(AND(A89&lt;&gt;"",COUNTIF(A16:A515,A89)&gt;1),"⚠️ JÁ PESADO! Peso: "&amp;TEXT(IFERROR(INDEX(B16:B515,MATCH(A89,A16:A515,0)),0),"#,##0.0")&amp;" kg  Lote: "&amp;IFERROR(INDEX(C16:C515,MATCH(A89,A16:A515,0)),"?"),"")</f>
        <v/>
      </c>
    </row>
    <row r="90" spans="1:4" ht="16.5" customHeight="1" x14ac:dyDescent="0.25">
      <c r="A90" s="16"/>
      <c r="B90" s="17"/>
      <c r="C90" s="18"/>
      <c r="D90" s="19" t="str">
        <f>IF(AND(A90&lt;&gt;"",COUNTIF(A16:A515,A90)&gt;1),"⚠️ JÁ PESADO! Peso: "&amp;TEXT(IFERROR(INDEX(B16:B515,MATCH(A90,A16:A515,0)),0),"#,##0.0")&amp;" kg  Lote: "&amp;IFERROR(INDEX(C16:C515,MATCH(A90,A16:A515,0)),"?"),"")</f>
        <v/>
      </c>
    </row>
    <row r="91" spans="1:4" ht="16.5" customHeight="1" x14ac:dyDescent="0.25">
      <c r="A91" s="20"/>
      <c r="B91" s="21"/>
      <c r="C91" s="22"/>
      <c r="D91" s="23" t="str">
        <f>IF(AND(A91&lt;&gt;"",COUNTIF(A16:A515,A91)&gt;1),"⚠️ JÁ PESADO! Peso: "&amp;TEXT(IFERROR(INDEX(B16:B515,MATCH(A91,A16:A515,0)),0),"#,##0.0")&amp;" kg  Lote: "&amp;IFERROR(INDEX(C16:C515,MATCH(A91,A16:A515,0)),"?"),"")</f>
        <v/>
      </c>
    </row>
    <row r="92" spans="1:4" ht="16.5" customHeight="1" x14ac:dyDescent="0.25">
      <c r="A92" s="16"/>
      <c r="B92" s="17"/>
      <c r="C92" s="18"/>
      <c r="D92" s="19" t="str">
        <f>IF(AND(A92&lt;&gt;"",COUNTIF(A16:A515,A92)&gt;1),"⚠️ JÁ PESADO! Peso: "&amp;TEXT(IFERROR(INDEX(B16:B515,MATCH(A92,A16:A515,0)),0),"#,##0.0")&amp;" kg  Lote: "&amp;IFERROR(INDEX(C16:C515,MATCH(A92,A16:A515,0)),"?"),"")</f>
        <v/>
      </c>
    </row>
    <row r="93" spans="1:4" ht="16.5" customHeight="1" x14ac:dyDescent="0.25">
      <c r="A93" s="20"/>
      <c r="B93" s="21"/>
      <c r="C93" s="22"/>
      <c r="D93" s="23" t="str">
        <f>IF(AND(A93&lt;&gt;"",COUNTIF(A16:A515,A93)&gt;1),"⚠️ JÁ PESADO! Peso: "&amp;TEXT(IFERROR(INDEX(B16:B515,MATCH(A93,A16:A515,0)),0),"#,##0.0")&amp;" kg  Lote: "&amp;IFERROR(INDEX(C16:C515,MATCH(A93,A16:A515,0)),"?"),"")</f>
        <v/>
      </c>
    </row>
    <row r="94" spans="1:4" ht="16.5" customHeight="1" x14ac:dyDescent="0.25">
      <c r="A94" s="16"/>
      <c r="B94" s="17"/>
      <c r="C94" s="18"/>
      <c r="D94" s="19" t="str">
        <f>IF(AND(A94&lt;&gt;"",COUNTIF(A16:A515,A94)&gt;1),"⚠️ JÁ PESADO! Peso: "&amp;TEXT(IFERROR(INDEX(B16:B515,MATCH(A94,A16:A515,0)),0),"#,##0.0")&amp;" kg  Lote: "&amp;IFERROR(INDEX(C16:C515,MATCH(A94,A16:A515,0)),"?"),"")</f>
        <v/>
      </c>
    </row>
    <row r="95" spans="1:4" ht="16.5" customHeight="1" x14ac:dyDescent="0.25">
      <c r="A95" s="20"/>
      <c r="B95" s="21"/>
      <c r="C95" s="22"/>
      <c r="D95" s="23" t="str">
        <f>IF(AND(A95&lt;&gt;"",COUNTIF(A16:A515,A95)&gt;1),"⚠️ JÁ PESADO! Peso: "&amp;TEXT(IFERROR(INDEX(B16:B515,MATCH(A95,A16:A515,0)),0),"#,##0.0")&amp;" kg  Lote: "&amp;IFERROR(INDEX(C16:C515,MATCH(A95,A16:A515,0)),"?"),"")</f>
        <v/>
      </c>
    </row>
    <row r="96" spans="1:4" ht="16.5" customHeight="1" x14ac:dyDescent="0.25">
      <c r="A96" s="16"/>
      <c r="B96" s="17"/>
      <c r="C96" s="18"/>
      <c r="D96" s="19" t="str">
        <f>IF(AND(A96&lt;&gt;"",COUNTIF(A16:A515,A96)&gt;1),"⚠️ JÁ PESADO! Peso: "&amp;TEXT(IFERROR(INDEX(B16:B515,MATCH(A96,A16:A515,0)),0),"#,##0.0")&amp;" kg  Lote: "&amp;IFERROR(INDEX(C16:C515,MATCH(A96,A16:A515,0)),"?"),"")</f>
        <v/>
      </c>
    </row>
    <row r="97" spans="1:4" ht="16.5" customHeight="1" x14ac:dyDescent="0.25">
      <c r="A97" s="20"/>
      <c r="B97" s="21"/>
      <c r="C97" s="22"/>
      <c r="D97" s="23" t="str">
        <f>IF(AND(A97&lt;&gt;"",COUNTIF(A16:A515,A97)&gt;1),"⚠️ JÁ PESADO! Peso: "&amp;TEXT(IFERROR(INDEX(B16:B515,MATCH(A97,A16:A515,0)),0),"#,##0.0")&amp;" kg  Lote: "&amp;IFERROR(INDEX(C16:C515,MATCH(A97,A16:A515,0)),"?"),"")</f>
        <v/>
      </c>
    </row>
    <row r="98" spans="1:4" ht="16.5" customHeight="1" x14ac:dyDescent="0.25">
      <c r="A98" s="16"/>
      <c r="B98" s="17"/>
      <c r="C98" s="18"/>
      <c r="D98" s="19" t="str">
        <f>IF(AND(A98&lt;&gt;"",COUNTIF(A16:A515,A98)&gt;1),"⚠️ JÁ PESADO! Peso: "&amp;TEXT(IFERROR(INDEX(B16:B515,MATCH(A98,A16:A515,0)),0),"#,##0.0")&amp;" kg  Lote: "&amp;IFERROR(INDEX(C16:C515,MATCH(A98,A16:A515,0)),"?"),"")</f>
        <v/>
      </c>
    </row>
    <row r="99" spans="1:4" ht="16.5" customHeight="1" x14ac:dyDescent="0.25">
      <c r="A99" s="20"/>
      <c r="B99" s="21"/>
      <c r="C99" s="22"/>
      <c r="D99" s="23" t="str">
        <f>IF(AND(A99&lt;&gt;"",COUNTIF(A16:A515,A99)&gt;1),"⚠️ JÁ PESADO! Peso: "&amp;TEXT(IFERROR(INDEX(B16:B515,MATCH(A99,A16:A515,0)),0),"#,##0.0")&amp;" kg  Lote: "&amp;IFERROR(INDEX(C16:C515,MATCH(A99,A16:A515,0)),"?"),"")</f>
        <v/>
      </c>
    </row>
    <row r="100" spans="1:4" ht="16.5" customHeight="1" x14ac:dyDescent="0.25">
      <c r="A100" s="16"/>
      <c r="B100" s="17"/>
      <c r="C100" s="18"/>
      <c r="D100" s="19" t="str">
        <f>IF(AND(A100&lt;&gt;"",COUNTIF(A16:A515,A100)&gt;1),"⚠️ JÁ PESADO! Peso: "&amp;TEXT(IFERROR(INDEX(B16:B515,MATCH(A100,A16:A515,0)),0),"#,##0.0")&amp;" kg  Lote: "&amp;IFERROR(INDEX(C16:C515,MATCH(A100,A16:A515,0)),"?"),"")</f>
        <v/>
      </c>
    </row>
    <row r="101" spans="1:4" ht="16.5" customHeight="1" x14ac:dyDescent="0.25">
      <c r="A101" s="20"/>
      <c r="B101" s="21"/>
      <c r="C101" s="22"/>
      <c r="D101" s="23" t="str">
        <f>IF(AND(A101&lt;&gt;"",COUNTIF(A16:A515,A101)&gt;1),"⚠️ JÁ PESADO! Peso: "&amp;TEXT(IFERROR(INDEX(B16:B515,MATCH(A101,A16:A515,0)),0),"#,##0.0")&amp;" kg  Lote: "&amp;IFERROR(INDEX(C16:C515,MATCH(A101,A16:A515,0)),"?"),"")</f>
        <v/>
      </c>
    </row>
    <row r="102" spans="1:4" ht="16.5" customHeight="1" x14ac:dyDescent="0.25">
      <c r="A102" s="16"/>
      <c r="B102" s="17"/>
      <c r="C102" s="18"/>
      <c r="D102" s="19" t="str">
        <f>IF(AND(A102&lt;&gt;"",COUNTIF(A16:A515,A102)&gt;1),"⚠️ JÁ PESADO! Peso: "&amp;TEXT(IFERROR(INDEX(B16:B515,MATCH(A102,A16:A515,0)),0),"#,##0.0")&amp;" kg  Lote: "&amp;IFERROR(INDEX(C16:C515,MATCH(A102,A16:A515,0)),"?"),"")</f>
        <v/>
      </c>
    </row>
    <row r="103" spans="1:4" ht="16.5" customHeight="1" x14ac:dyDescent="0.25">
      <c r="A103" s="20"/>
      <c r="B103" s="21"/>
      <c r="C103" s="22"/>
      <c r="D103" s="23" t="str">
        <f>IF(AND(A103&lt;&gt;"",COUNTIF(A16:A515,A103)&gt;1),"⚠️ JÁ PESADO! Peso: "&amp;TEXT(IFERROR(INDEX(B16:B515,MATCH(A103,A16:A515,0)),0),"#,##0.0")&amp;" kg  Lote: "&amp;IFERROR(INDEX(C16:C515,MATCH(A103,A16:A515,0)),"?"),"")</f>
        <v/>
      </c>
    </row>
    <row r="104" spans="1:4" ht="16.5" customHeight="1" x14ac:dyDescent="0.25">
      <c r="A104" s="16"/>
      <c r="B104" s="17"/>
      <c r="C104" s="18"/>
      <c r="D104" s="19" t="str">
        <f>IF(AND(A104&lt;&gt;"",COUNTIF(A16:A515,A104)&gt;1),"⚠️ JÁ PESADO! Peso: "&amp;TEXT(IFERROR(INDEX(B16:B515,MATCH(A104,A16:A515,0)),0),"#,##0.0")&amp;" kg  Lote: "&amp;IFERROR(INDEX(C16:C515,MATCH(A104,A16:A515,0)),"?"),"")</f>
        <v/>
      </c>
    </row>
    <row r="105" spans="1:4" ht="16.5" customHeight="1" x14ac:dyDescent="0.25">
      <c r="A105" s="20"/>
      <c r="B105" s="21"/>
      <c r="C105" s="22"/>
      <c r="D105" s="23" t="str">
        <f>IF(AND(A105&lt;&gt;"",COUNTIF(A16:A515,A105)&gt;1),"⚠️ JÁ PESADO! Peso: "&amp;TEXT(IFERROR(INDEX(B16:B515,MATCH(A105,A16:A515,0)),0),"#,##0.0")&amp;" kg  Lote: "&amp;IFERROR(INDEX(C16:C515,MATCH(A105,A16:A515,0)),"?"),"")</f>
        <v/>
      </c>
    </row>
    <row r="106" spans="1:4" ht="16.5" customHeight="1" x14ac:dyDescent="0.25">
      <c r="A106" s="16"/>
      <c r="B106" s="17"/>
      <c r="C106" s="18"/>
      <c r="D106" s="19" t="str">
        <f>IF(AND(A106&lt;&gt;"",COUNTIF(A16:A515,A106)&gt;1),"⚠️ JÁ PESADO! Peso: "&amp;TEXT(IFERROR(INDEX(B16:B515,MATCH(A106,A16:A515,0)),0),"#,##0.0")&amp;" kg  Lote: "&amp;IFERROR(INDEX(C16:C515,MATCH(A106,A16:A515,0)),"?"),"")</f>
        <v/>
      </c>
    </row>
    <row r="107" spans="1:4" ht="16.5" customHeight="1" x14ac:dyDescent="0.25">
      <c r="A107" s="20"/>
      <c r="B107" s="21"/>
      <c r="C107" s="22"/>
      <c r="D107" s="23" t="str">
        <f>IF(AND(A107&lt;&gt;"",COUNTIF(A16:A515,A107)&gt;1),"⚠️ JÁ PESADO! Peso: "&amp;TEXT(IFERROR(INDEX(B16:B515,MATCH(A107,A16:A515,0)),0),"#,##0.0")&amp;" kg  Lote: "&amp;IFERROR(INDEX(C16:C515,MATCH(A107,A16:A515,0)),"?"),"")</f>
        <v/>
      </c>
    </row>
    <row r="108" spans="1:4" ht="16.5" customHeight="1" x14ac:dyDescent="0.25">
      <c r="A108" s="16"/>
      <c r="B108" s="17"/>
      <c r="C108" s="18"/>
      <c r="D108" s="19" t="str">
        <f>IF(AND(A108&lt;&gt;"",COUNTIF(A16:A515,A108)&gt;1),"⚠️ JÁ PESADO! Peso: "&amp;TEXT(IFERROR(INDEX(B16:B515,MATCH(A108,A16:A515,0)),0),"#,##0.0")&amp;" kg  Lote: "&amp;IFERROR(INDEX(C16:C515,MATCH(A108,A16:A515,0)),"?"),"")</f>
        <v/>
      </c>
    </row>
    <row r="109" spans="1:4" ht="16.5" customHeight="1" x14ac:dyDescent="0.25">
      <c r="A109" s="20"/>
      <c r="B109" s="21"/>
      <c r="C109" s="22"/>
      <c r="D109" s="23" t="str">
        <f>IF(AND(A109&lt;&gt;"",COUNTIF(A16:A515,A109)&gt;1),"⚠️ JÁ PESADO! Peso: "&amp;TEXT(IFERROR(INDEX(B16:B515,MATCH(A109,A16:A515,0)),0),"#,##0.0")&amp;" kg  Lote: "&amp;IFERROR(INDEX(C16:C515,MATCH(A109,A16:A515,0)),"?"),"")</f>
        <v/>
      </c>
    </row>
    <row r="110" spans="1:4" ht="16.5" customHeight="1" x14ac:dyDescent="0.25">
      <c r="A110" s="16"/>
      <c r="B110" s="17"/>
      <c r="C110" s="18"/>
      <c r="D110" s="19" t="str">
        <f>IF(AND(A110&lt;&gt;"",COUNTIF(A16:A515,A110)&gt;1),"⚠️ JÁ PESADO! Peso: "&amp;TEXT(IFERROR(INDEX(B16:B515,MATCH(A110,A16:A515,0)),0),"#,##0.0")&amp;" kg  Lote: "&amp;IFERROR(INDEX(C16:C515,MATCH(A110,A16:A515,0)),"?"),"")</f>
        <v/>
      </c>
    </row>
    <row r="111" spans="1:4" ht="16.5" customHeight="1" x14ac:dyDescent="0.25">
      <c r="A111" s="20"/>
      <c r="B111" s="21"/>
      <c r="C111" s="22"/>
      <c r="D111" s="23" t="str">
        <f>IF(AND(A111&lt;&gt;"",COUNTIF(A16:A515,A111)&gt;1),"⚠️ JÁ PESADO! Peso: "&amp;TEXT(IFERROR(INDEX(B16:B515,MATCH(A111,A16:A515,0)),0),"#,##0.0")&amp;" kg  Lote: "&amp;IFERROR(INDEX(C16:C515,MATCH(A111,A16:A515,0)),"?"),"")</f>
        <v/>
      </c>
    </row>
    <row r="112" spans="1:4" ht="16.5" customHeight="1" x14ac:dyDescent="0.25">
      <c r="A112" s="16"/>
      <c r="B112" s="17"/>
      <c r="C112" s="18"/>
      <c r="D112" s="19" t="str">
        <f>IF(AND(A112&lt;&gt;"",COUNTIF(A16:A515,A112)&gt;1),"⚠️ JÁ PESADO! Peso: "&amp;TEXT(IFERROR(INDEX(B16:B515,MATCH(A112,A16:A515,0)),0),"#,##0.0")&amp;" kg  Lote: "&amp;IFERROR(INDEX(C16:C515,MATCH(A112,A16:A515,0)),"?"),"")</f>
        <v/>
      </c>
    </row>
    <row r="113" spans="1:4" ht="16.5" customHeight="1" x14ac:dyDescent="0.25">
      <c r="A113" s="20"/>
      <c r="B113" s="21"/>
      <c r="C113" s="22"/>
      <c r="D113" s="23" t="str">
        <f>IF(AND(A113&lt;&gt;"",COUNTIF(A16:A515,A113)&gt;1),"⚠️ JÁ PESADO! Peso: "&amp;TEXT(IFERROR(INDEX(B16:B515,MATCH(A113,A16:A515,0)),0),"#,##0.0")&amp;" kg  Lote: "&amp;IFERROR(INDEX(C16:C515,MATCH(A113,A16:A515,0)),"?"),"")</f>
        <v/>
      </c>
    </row>
    <row r="114" spans="1:4" ht="16.5" customHeight="1" x14ac:dyDescent="0.25">
      <c r="A114" s="16"/>
      <c r="B114" s="17"/>
      <c r="C114" s="18"/>
      <c r="D114" s="19" t="str">
        <f>IF(AND(A114&lt;&gt;"",COUNTIF(A16:A515,A114)&gt;1),"⚠️ JÁ PESADO! Peso: "&amp;TEXT(IFERROR(INDEX(B16:B515,MATCH(A114,A16:A515,0)),0),"#,##0.0")&amp;" kg  Lote: "&amp;IFERROR(INDEX(C16:C515,MATCH(A114,A16:A515,0)),"?"),"")</f>
        <v/>
      </c>
    </row>
    <row r="115" spans="1:4" ht="16.5" customHeight="1" x14ac:dyDescent="0.25">
      <c r="A115" s="20"/>
      <c r="B115" s="21"/>
      <c r="C115" s="22"/>
      <c r="D115" s="23" t="str">
        <f>IF(AND(A115&lt;&gt;"",COUNTIF(A16:A515,A115)&gt;1),"⚠️ JÁ PESADO! Peso: "&amp;TEXT(IFERROR(INDEX(B16:B515,MATCH(A115,A16:A515,0)),0),"#,##0.0")&amp;" kg  Lote: "&amp;IFERROR(INDEX(C16:C515,MATCH(A115,A16:A515,0)),"?"),"")</f>
        <v/>
      </c>
    </row>
    <row r="116" spans="1:4" ht="16.5" customHeight="1" x14ac:dyDescent="0.25">
      <c r="A116" s="16"/>
      <c r="B116" s="17"/>
      <c r="C116" s="18"/>
      <c r="D116" s="19" t="str">
        <f>IF(AND(A116&lt;&gt;"",COUNTIF(A16:A515,A116)&gt;1),"⚠️ JÁ PESADO! Peso: "&amp;TEXT(IFERROR(INDEX(B16:B515,MATCH(A116,A16:A515,0)),0),"#,##0.0")&amp;" kg  Lote: "&amp;IFERROR(INDEX(C16:C515,MATCH(A116,A16:A515,0)),"?"),"")</f>
        <v/>
      </c>
    </row>
    <row r="117" spans="1:4" ht="16.5" customHeight="1" x14ac:dyDescent="0.25">
      <c r="A117" s="20"/>
      <c r="B117" s="21"/>
      <c r="C117" s="22"/>
      <c r="D117" s="23" t="str">
        <f>IF(AND(A117&lt;&gt;"",COUNTIF(A16:A515,A117)&gt;1),"⚠️ JÁ PESADO! Peso: "&amp;TEXT(IFERROR(INDEX(B16:B515,MATCH(A117,A16:A515,0)),0),"#,##0.0")&amp;" kg  Lote: "&amp;IFERROR(INDEX(C16:C515,MATCH(A117,A16:A515,0)),"?"),"")</f>
        <v/>
      </c>
    </row>
    <row r="118" spans="1:4" ht="16.5" customHeight="1" x14ac:dyDescent="0.25">
      <c r="A118" s="16"/>
      <c r="B118" s="17"/>
      <c r="C118" s="18"/>
      <c r="D118" s="19" t="str">
        <f>IF(AND(A118&lt;&gt;"",COUNTIF(A16:A515,A118)&gt;1),"⚠️ JÁ PESADO! Peso: "&amp;TEXT(IFERROR(INDEX(B16:B515,MATCH(A118,A16:A515,0)),0),"#,##0.0")&amp;" kg  Lote: "&amp;IFERROR(INDEX(C16:C515,MATCH(A118,A16:A515,0)),"?"),"")</f>
        <v/>
      </c>
    </row>
    <row r="119" spans="1:4" ht="16.5" customHeight="1" x14ac:dyDescent="0.25">
      <c r="A119" s="20"/>
      <c r="B119" s="21"/>
      <c r="C119" s="22"/>
      <c r="D119" s="23" t="str">
        <f>IF(AND(A119&lt;&gt;"",COUNTIF(A16:A515,A119)&gt;1),"⚠️ JÁ PESADO! Peso: "&amp;TEXT(IFERROR(INDEX(B16:B515,MATCH(A119,A16:A515,0)),0),"#,##0.0")&amp;" kg  Lote: "&amp;IFERROR(INDEX(C16:C515,MATCH(A119,A16:A515,0)),"?"),"")</f>
        <v/>
      </c>
    </row>
    <row r="120" spans="1:4" ht="16.5" customHeight="1" x14ac:dyDescent="0.25">
      <c r="A120" s="16"/>
      <c r="B120" s="17"/>
      <c r="C120" s="18"/>
      <c r="D120" s="19" t="str">
        <f>IF(AND(A120&lt;&gt;"",COUNTIF(A16:A515,A120)&gt;1),"⚠️ JÁ PESADO! Peso: "&amp;TEXT(IFERROR(INDEX(B16:B515,MATCH(A120,A16:A515,0)),0),"#,##0.0")&amp;" kg  Lote: "&amp;IFERROR(INDEX(C16:C515,MATCH(A120,A16:A515,0)),"?"),"")</f>
        <v/>
      </c>
    </row>
    <row r="121" spans="1:4" ht="16.5" customHeight="1" x14ac:dyDescent="0.25">
      <c r="A121" s="20"/>
      <c r="B121" s="21"/>
      <c r="C121" s="22"/>
      <c r="D121" s="23" t="str">
        <f>IF(AND(A121&lt;&gt;"",COUNTIF(A16:A515,A121)&gt;1),"⚠️ JÁ PESADO! Peso: "&amp;TEXT(IFERROR(INDEX(B16:B515,MATCH(A121,A16:A515,0)),0),"#,##0.0")&amp;" kg  Lote: "&amp;IFERROR(INDEX(C16:C515,MATCH(A121,A16:A515,0)),"?"),"")</f>
        <v/>
      </c>
    </row>
    <row r="122" spans="1:4" ht="16.5" customHeight="1" x14ac:dyDescent="0.25">
      <c r="A122" s="16"/>
      <c r="B122" s="17"/>
      <c r="C122" s="18"/>
      <c r="D122" s="19" t="str">
        <f>IF(AND(A122&lt;&gt;"",COUNTIF(A16:A515,A122)&gt;1),"⚠️ JÁ PESADO! Peso: "&amp;TEXT(IFERROR(INDEX(B16:B515,MATCH(A122,A16:A515,0)),0),"#,##0.0")&amp;" kg  Lote: "&amp;IFERROR(INDEX(C16:C515,MATCH(A122,A16:A515,0)),"?"),"")</f>
        <v/>
      </c>
    </row>
    <row r="123" spans="1:4" ht="16.5" customHeight="1" x14ac:dyDescent="0.25">
      <c r="A123" s="20"/>
      <c r="B123" s="21"/>
      <c r="C123" s="22"/>
      <c r="D123" s="23" t="str">
        <f>IF(AND(A123&lt;&gt;"",COUNTIF(A16:A515,A123)&gt;1),"⚠️ JÁ PESADO! Peso: "&amp;TEXT(IFERROR(INDEX(B16:B515,MATCH(A123,A16:A515,0)),0),"#,##0.0")&amp;" kg  Lote: "&amp;IFERROR(INDEX(C16:C515,MATCH(A123,A16:A515,0)),"?"),"")</f>
        <v/>
      </c>
    </row>
    <row r="124" spans="1:4" ht="16.5" customHeight="1" x14ac:dyDescent="0.25">
      <c r="A124" s="16"/>
      <c r="B124" s="17"/>
      <c r="C124" s="18"/>
      <c r="D124" s="19" t="str">
        <f>IF(AND(A124&lt;&gt;"",COUNTIF(A16:A515,A124)&gt;1),"⚠️ JÁ PESADO! Peso: "&amp;TEXT(IFERROR(INDEX(B16:B515,MATCH(A124,A16:A515,0)),0),"#,##0.0")&amp;" kg  Lote: "&amp;IFERROR(INDEX(C16:C515,MATCH(A124,A16:A515,0)),"?"),"")</f>
        <v/>
      </c>
    </row>
    <row r="125" spans="1:4" ht="16.5" customHeight="1" x14ac:dyDescent="0.25">
      <c r="A125" s="20"/>
      <c r="B125" s="21"/>
      <c r="C125" s="22"/>
      <c r="D125" s="23" t="str">
        <f>IF(AND(A125&lt;&gt;"",COUNTIF(A16:A515,A125)&gt;1),"⚠️ JÁ PESADO! Peso: "&amp;TEXT(IFERROR(INDEX(B16:B515,MATCH(A125,A16:A515,0)),0),"#,##0.0")&amp;" kg  Lote: "&amp;IFERROR(INDEX(C16:C515,MATCH(A125,A16:A515,0)),"?"),"")</f>
        <v/>
      </c>
    </row>
    <row r="126" spans="1:4" ht="16.5" customHeight="1" x14ac:dyDescent="0.25">
      <c r="A126" s="16"/>
      <c r="B126" s="17"/>
      <c r="C126" s="18"/>
      <c r="D126" s="19" t="str">
        <f>IF(AND(A126&lt;&gt;"",COUNTIF(A16:A515,A126)&gt;1),"⚠️ JÁ PESADO! Peso: "&amp;TEXT(IFERROR(INDEX(B16:B515,MATCH(A126,A16:A515,0)),0),"#,##0.0")&amp;" kg  Lote: "&amp;IFERROR(INDEX(C16:C515,MATCH(A126,A16:A515,0)),"?"),"")</f>
        <v/>
      </c>
    </row>
    <row r="127" spans="1:4" ht="16.5" customHeight="1" x14ac:dyDescent="0.25">
      <c r="A127" s="20"/>
      <c r="B127" s="21"/>
      <c r="C127" s="22"/>
      <c r="D127" s="23" t="str">
        <f>IF(AND(A127&lt;&gt;"",COUNTIF(A16:A515,A127)&gt;1),"⚠️ JÁ PESADO! Peso: "&amp;TEXT(IFERROR(INDEX(B16:B515,MATCH(A127,A16:A515,0)),0),"#,##0.0")&amp;" kg  Lote: "&amp;IFERROR(INDEX(C16:C515,MATCH(A127,A16:A515,0)),"?"),"")</f>
        <v/>
      </c>
    </row>
    <row r="128" spans="1:4" ht="16.5" customHeight="1" x14ac:dyDescent="0.25">
      <c r="A128" s="16"/>
      <c r="B128" s="17"/>
      <c r="C128" s="18"/>
      <c r="D128" s="19" t="str">
        <f>IF(AND(A128&lt;&gt;"",COUNTIF(A16:A515,A128)&gt;1),"⚠️ JÁ PESADO! Peso: "&amp;TEXT(IFERROR(INDEX(B16:B515,MATCH(A128,A16:A515,0)),0),"#,##0.0")&amp;" kg  Lote: "&amp;IFERROR(INDEX(C16:C515,MATCH(A128,A16:A515,0)),"?"),"")</f>
        <v/>
      </c>
    </row>
    <row r="129" spans="1:4" ht="16.5" customHeight="1" x14ac:dyDescent="0.25">
      <c r="A129" s="20"/>
      <c r="B129" s="21"/>
      <c r="C129" s="22"/>
      <c r="D129" s="23" t="str">
        <f>IF(AND(A129&lt;&gt;"",COUNTIF(A16:A515,A129)&gt;1),"⚠️ JÁ PESADO! Peso: "&amp;TEXT(IFERROR(INDEX(B16:B515,MATCH(A129,A16:A515,0)),0),"#,##0.0")&amp;" kg  Lote: "&amp;IFERROR(INDEX(C16:C515,MATCH(A129,A16:A515,0)),"?"),"")</f>
        <v/>
      </c>
    </row>
    <row r="130" spans="1:4" ht="16.5" customHeight="1" x14ac:dyDescent="0.25">
      <c r="A130" s="16"/>
      <c r="B130" s="17"/>
      <c r="C130" s="18"/>
      <c r="D130" s="19" t="str">
        <f>IF(AND(A130&lt;&gt;"",COUNTIF(A16:A515,A130)&gt;1),"⚠️ JÁ PESADO! Peso: "&amp;TEXT(IFERROR(INDEX(B16:B515,MATCH(A130,A16:A515,0)),0),"#,##0.0")&amp;" kg  Lote: "&amp;IFERROR(INDEX(C16:C515,MATCH(A130,A16:A515,0)),"?"),"")</f>
        <v/>
      </c>
    </row>
    <row r="131" spans="1:4" ht="16.5" customHeight="1" x14ac:dyDescent="0.25">
      <c r="A131" s="20"/>
      <c r="B131" s="21"/>
      <c r="C131" s="22"/>
      <c r="D131" s="23" t="str">
        <f>IF(AND(A131&lt;&gt;"",COUNTIF(A16:A515,A131)&gt;1),"⚠️ JÁ PESADO! Peso: "&amp;TEXT(IFERROR(INDEX(B16:B515,MATCH(A131,A16:A515,0)),0),"#,##0.0")&amp;" kg  Lote: "&amp;IFERROR(INDEX(C16:C515,MATCH(A131,A16:A515,0)),"?"),"")</f>
        <v/>
      </c>
    </row>
    <row r="132" spans="1:4" ht="16.5" customHeight="1" x14ac:dyDescent="0.25">
      <c r="A132" s="16"/>
      <c r="B132" s="17"/>
      <c r="C132" s="18"/>
      <c r="D132" s="19" t="str">
        <f>IF(AND(A132&lt;&gt;"",COUNTIF(A16:A515,A132)&gt;1),"⚠️ JÁ PESADO! Peso: "&amp;TEXT(IFERROR(INDEX(B16:B515,MATCH(A132,A16:A515,0)),0),"#,##0.0")&amp;" kg  Lote: "&amp;IFERROR(INDEX(C16:C515,MATCH(A132,A16:A515,0)),"?"),"")</f>
        <v/>
      </c>
    </row>
    <row r="133" spans="1:4" ht="16.5" customHeight="1" x14ac:dyDescent="0.25">
      <c r="A133" s="20"/>
      <c r="B133" s="21"/>
      <c r="C133" s="22"/>
      <c r="D133" s="23" t="str">
        <f>IF(AND(A133&lt;&gt;"",COUNTIF(A16:A515,A133)&gt;1),"⚠️ JÁ PESADO! Peso: "&amp;TEXT(IFERROR(INDEX(B16:B515,MATCH(A133,A16:A515,0)),0),"#,##0.0")&amp;" kg  Lote: "&amp;IFERROR(INDEX(C16:C515,MATCH(A133,A16:A515,0)),"?"),"")</f>
        <v/>
      </c>
    </row>
    <row r="134" spans="1:4" ht="16.5" customHeight="1" x14ac:dyDescent="0.25">
      <c r="A134" s="16"/>
      <c r="B134" s="17"/>
      <c r="C134" s="18"/>
      <c r="D134" s="19" t="str">
        <f>IF(AND(A134&lt;&gt;"",COUNTIF(A16:A515,A134)&gt;1),"⚠️ JÁ PESADO! Peso: "&amp;TEXT(IFERROR(INDEX(B16:B515,MATCH(A134,A16:A515,0)),0),"#,##0.0")&amp;" kg  Lote: "&amp;IFERROR(INDEX(C16:C515,MATCH(A134,A16:A515,0)),"?"),"")</f>
        <v/>
      </c>
    </row>
    <row r="135" spans="1:4" ht="16.5" customHeight="1" x14ac:dyDescent="0.25">
      <c r="A135" s="20"/>
      <c r="B135" s="21"/>
      <c r="C135" s="22"/>
      <c r="D135" s="23" t="str">
        <f>IF(AND(A135&lt;&gt;"",COUNTIF(A16:A515,A135)&gt;1),"⚠️ JÁ PESADO! Peso: "&amp;TEXT(IFERROR(INDEX(B16:B515,MATCH(A135,A16:A515,0)),0),"#,##0.0")&amp;" kg  Lote: "&amp;IFERROR(INDEX(C16:C515,MATCH(A135,A16:A515,0)),"?"),"")</f>
        <v/>
      </c>
    </row>
    <row r="136" spans="1:4" ht="16.5" customHeight="1" x14ac:dyDescent="0.25">
      <c r="A136" s="16"/>
      <c r="B136" s="17"/>
      <c r="C136" s="18"/>
      <c r="D136" s="19" t="str">
        <f>IF(AND(A136&lt;&gt;"",COUNTIF(A16:A515,A136)&gt;1),"⚠️ JÁ PESADO! Peso: "&amp;TEXT(IFERROR(INDEX(B16:B515,MATCH(A136,A16:A515,0)),0),"#,##0.0")&amp;" kg  Lote: "&amp;IFERROR(INDEX(C16:C515,MATCH(A136,A16:A515,0)),"?"),"")</f>
        <v/>
      </c>
    </row>
    <row r="137" spans="1:4" ht="16.5" customHeight="1" x14ac:dyDescent="0.25">
      <c r="A137" s="20"/>
      <c r="B137" s="21"/>
      <c r="C137" s="22"/>
      <c r="D137" s="23" t="str">
        <f>IF(AND(A137&lt;&gt;"",COUNTIF(A16:A515,A137)&gt;1),"⚠️ JÁ PESADO! Peso: "&amp;TEXT(IFERROR(INDEX(B16:B515,MATCH(A137,A16:A515,0)),0),"#,##0.0")&amp;" kg  Lote: "&amp;IFERROR(INDEX(C16:C515,MATCH(A137,A16:A515,0)),"?"),"")</f>
        <v/>
      </c>
    </row>
    <row r="138" spans="1:4" ht="16.5" customHeight="1" x14ac:dyDescent="0.25">
      <c r="A138" s="16"/>
      <c r="B138" s="17"/>
      <c r="C138" s="18"/>
      <c r="D138" s="19" t="str">
        <f>IF(AND(A138&lt;&gt;"",COUNTIF(A16:A515,A138)&gt;1),"⚠️ JÁ PESADO! Peso: "&amp;TEXT(IFERROR(INDEX(B16:B515,MATCH(A138,A16:A515,0)),0),"#,##0.0")&amp;" kg  Lote: "&amp;IFERROR(INDEX(C16:C515,MATCH(A138,A16:A515,0)),"?"),"")</f>
        <v/>
      </c>
    </row>
    <row r="139" spans="1:4" ht="16.5" customHeight="1" x14ac:dyDescent="0.25">
      <c r="A139" s="20"/>
      <c r="B139" s="21"/>
      <c r="C139" s="22"/>
      <c r="D139" s="23" t="str">
        <f>IF(AND(A139&lt;&gt;"",COUNTIF(A16:A515,A139)&gt;1),"⚠️ JÁ PESADO! Peso: "&amp;TEXT(IFERROR(INDEX(B16:B515,MATCH(A139,A16:A515,0)),0),"#,##0.0")&amp;" kg  Lote: "&amp;IFERROR(INDEX(C16:C515,MATCH(A139,A16:A515,0)),"?"),"")</f>
        <v/>
      </c>
    </row>
    <row r="140" spans="1:4" ht="16.5" customHeight="1" x14ac:dyDescent="0.25">
      <c r="A140" s="16"/>
      <c r="B140" s="17"/>
      <c r="C140" s="18"/>
      <c r="D140" s="19" t="str">
        <f>IF(AND(A140&lt;&gt;"",COUNTIF(A16:A515,A140)&gt;1),"⚠️ JÁ PESADO! Peso: "&amp;TEXT(IFERROR(INDEX(B16:B515,MATCH(A140,A16:A515,0)),0),"#,##0.0")&amp;" kg  Lote: "&amp;IFERROR(INDEX(C16:C515,MATCH(A140,A16:A515,0)),"?"),"")</f>
        <v/>
      </c>
    </row>
    <row r="141" spans="1:4" ht="16.5" customHeight="1" x14ac:dyDescent="0.25">
      <c r="A141" s="20"/>
      <c r="B141" s="21"/>
      <c r="C141" s="22"/>
      <c r="D141" s="23" t="str">
        <f>IF(AND(A141&lt;&gt;"",COUNTIF(A16:A515,A141)&gt;1),"⚠️ JÁ PESADO! Peso: "&amp;TEXT(IFERROR(INDEX(B16:B515,MATCH(A141,A16:A515,0)),0),"#,##0.0")&amp;" kg  Lote: "&amp;IFERROR(INDEX(C16:C515,MATCH(A141,A16:A515,0)),"?"),"")</f>
        <v/>
      </c>
    </row>
    <row r="142" spans="1:4" ht="16.5" customHeight="1" x14ac:dyDescent="0.25">
      <c r="A142" s="16"/>
      <c r="B142" s="17"/>
      <c r="C142" s="18"/>
      <c r="D142" s="19" t="str">
        <f>IF(AND(A142&lt;&gt;"",COUNTIF(A16:A515,A142)&gt;1),"⚠️ JÁ PESADO! Peso: "&amp;TEXT(IFERROR(INDEX(B16:B515,MATCH(A142,A16:A515,0)),0),"#,##0.0")&amp;" kg  Lote: "&amp;IFERROR(INDEX(C16:C515,MATCH(A142,A16:A515,0)),"?"),"")</f>
        <v/>
      </c>
    </row>
    <row r="143" spans="1:4" ht="16.5" customHeight="1" x14ac:dyDescent="0.25">
      <c r="A143" s="20"/>
      <c r="B143" s="21"/>
      <c r="C143" s="22"/>
      <c r="D143" s="23" t="str">
        <f>IF(AND(A143&lt;&gt;"",COUNTIF(A16:A515,A143)&gt;1),"⚠️ JÁ PESADO! Peso: "&amp;TEXT(IFERROR(INDEX(B16:B515,MATCH(A143,A16:A515,0)),0),"#,##0.0")&amp;" kg  Lote: "&amp;IFERROR(INDEX(C16:C515,MATCH(A143,A16:A515,0)),"?"),"")</f>
        <v/>
      </c>
    </row>
    <row r="144" spans="1:4" ht="16.5" customHeight="1" x14ac:dyDescent="0.25">
      <c r="A144" s="16"/>
      <c r="B144" s="17"/>
      <c r="C144" s="18"/>
      <c r="D144" s="19" t="str">
        <f>IF(AND(A144&lt;&gt;"",COUNTIF(A16:A515,A144)&gt;1),"⚠️ JÁ PESADO! Peso: "&amp;TEXT(IFERROR(INDEX(B16:B515,MATCH(A144,A16:A515,0)),0),"#,##0.0")&amp;" kg  Lote: "&amp;IFERROR(INDEX(C16:C515,MATCH(A144,A16:A515,0)),"?"),"")</f>
        <v/>
      </c>
    </row>
    <row r="145" spans="1:4" ht="16.5" customHeight="1" x14ac:dyDescent="0.25">
      <c r="A145" s="20"/>
      <c r="B145" s="21"/>
      <c r="C145" s="22"/>
      <c r="D145" s="23" t="str">
        <f>IF(AND(A145&lt;&gt;"",COUNTIF(A16:A515,A145)&gt;1),"⚠️ JÁ PESADO! Peso: "&amp;TEXT(IFERROR(INDEX(B16:B515,MATCH(A145,A16:A515,0)),0),"#,##0.0")&amp;" kg  Lote: "&amp;IFERROR(INDEX(C16:C515,MATCH(A145,A16:A515,0)),"?"),"")</f>
        <v/>
      </c>
    </row>
    <row r="146" spans="1:4" ht="16.5" customHeight="1" x14ac:dyDescent="0.25">
      <c r="A146" s="16"/>
      <c r="B146" s="17"/>
      <c r="C146" s="18"/>
      <c r="D146" s="19" t="str">
        <f>IF(AND(A146&lt;&gt;"",COUNTIF(A16:A515,A146)&gt;1),"⚠️ JÁ PESADO! Peso: "&amp;TEXT(IFERROR(INDEX(B16:B515,MATCH(A146,A16:A515,0)),0),"#,##0.0")&amp;" kg  Lote: "&amp;IFERROR(INDEX(C16:C515,MATCH(A146,A16:A515,0)),"?"),"")</f>
        <v/>
      </c>
    </row>
    <row r="147" spans="1:4" ht="16.5" customHeight="1" x14ac:dyDescent="0.25">
      <c r="A147" s="20"/>
      <c r="B147" s="21"/>
      <c r="C147" s="22"/>
      <c r="D147" s="23" t="str">
        <f>IF(AND(A147&lt;&gt;"",COUNTIF(A16:A515,A147)&gt;1),"⚠️ JÁ PESADO! Peso: "&amp;TEXT(IFERROR(INDEX(B16:B515,MATCH(A147,A16:A515,0)),0),"#,##0.0")&amp;" kg  Lote: "&amp;IFERROR(INDEX(C16:C515,MATCH(A147,A16:A515,0)),"?"),"")</f>
        <v/>
      </c>
    </row>
    <row r="148" spans="1:4" ht="16.5" customHeight="1" x14ac:dyDescent="0.25">
      <c r="A148" s="16"/>
      <c r="B148" s="17"/>
      <c r="C148" s="18"/>
      <c r="D148" s="19" t="str">
        <f>IF(AND(A148&lt;&gt;"",COUNTIF(A16:A515,A148)&gt;1),"⚠️ JÁ PESADO! Peso: "&amp;TEXT(IFERROR(INDEX(B16:B515,MATCH(A148,A16:A515,0)),0),"#,##0.0")&amp;" kg  Lote: "&amp;IFERROR(INDEX(C16:C515,MATCH(A148,A16:A515,0)),"?"),"")</f>
        <v/>
      </c>
    </row>
    <row r="149" spans="1:4" ht="16.5" customHeight="1" x14ac:dyDescent="0.25">
      <c r="A149" s="20"/>
      <c r="B149" s="21"/>
      <c r="C149" s="22"/>
      <c r="D149" s="23" t="str">
        <f>IF(AND(A149&lt;&gt;"",COUNTIF(A16:A515,A149)&gt;1),"⚠️ JÁ PESADO! Peso: "&amp;TEXT(IFERROR(INDEX(B16:B515,MATCH(A149,A16:A515,0)),0),"#,##0.0")&amp;" kg  Lote: "&amp;IFERROR(INDEX(C16:C515,MATCH(A149,A16:A515,0)),"?"),"")</f>
        <v/>
      </c>
    </row>
    <row r="150" spans="1:4" ht="16.5" customHeight="1" x14ac:dyDescent="0.25">
      <c r="A150" s="16"/>
      <c r="B150" s="17"/>
      <c r="C150" s="18"/>
      <c r="D150" s="19" t="str">
        <f>IF(AND(A150&lt;&gt;"",COUNTIF(A16:A515,A150)&gt;1),"⚠️ JÁ PESADO! Peso: "&amp;TEXT(IFERROR(INDEX(B16:B515,MATCH(A150,A16:A515,0)),0),"#,##0.0")&amp;" kg  Lote: "&amp;IFERROR(INDEX(C16:C515,MATCH(A150,A16:A515,0)),"?"),"")</f>
        <v/>
      </c>
    </row>
    <row r="151" spans="1:4" ht="16.5" customHeight="1" x14ac:dyDescent="0.25">
      <c r="A151" s="20"/>
      <c r="B151" s="21"/>
      <c r="C151" s="22"/>
      <c r="D151" s="23" t="str">
        <f>IF(AND(A151&lt;&gt;"",COUNTIF(A16:A515,A151)&gt;1),"⚠️ JÁ PESADO! Peso: "&amp;TEXT(IFERROR(INDEX(B16:B515,MATCH(A151,A16:A515,0)),0),"#,##0.0")&amp;" kg  Lote: "&amp;IFERROR(INDEX(C16:C515,MATCH(A151,A16:A515,0)),"?"),"")</f>
        <v/>
      </c>
    </row>
    <row r="152" spans="1:4" ht="16.5" customHeight="1" x14ac:dyDescent="0.25">
      <c r="A152" s="16"/>
      <c r="B152" s="17"/>
      <c r="C152" s="18"/>
      <c r="D152" s="19" t="str">
        <f>IF(AND(A152&lt;&gt;"",COUNTIF(A16:A515,A152)&gt;1),"⚠️ JÁ PESADO! Peso: "&amp;TEXT(IFERROR(INDEX(B16:B515,MATCH(A152,A16:A515,0)),0),"#,##0.0")&amp;" kg  Lote: "&amp;IFERROR(INDEX(C16:C515,MATCH(A152,A16:A515,0)),"?"),"")</f>
        <v/>
      </c>
    </row>
    <row r="153" spans="1:4" ht="16.5" customHeight="1" x14ac:dyDescent="0.25">
      <c r="A153" s="20"/>
      <c r="B153" s="21"/>
      <c r="C153" s="22"/>
      <c r="D153" s="23" t="str">
        <f>IF(AND(A153&lt;&gt;"",COUNTIF(A16:A515,A153)&gt;1),"⚠️ JÁ PESADO! Peso: "&amp;TEXT(IFERROR(INDEX(B16:B515,MATCH(A153,A16:A515,0)),0),"#,##0.0")&amp;" kg  Lote: "&amp;IFERROR(INDEX(C16:C515,MATCH(A153,A16:A515,0)),"?"),"")</f>
        <v/>
      </c>
    </row>
    <row r="154" spans="1:4" ht="16.5" customHeight="1" x14ac:dyDescent="0.25">
      <c r="A154" s="16"/>
      <c r="B154" s="17"/>
      <c r="C154" s="18"/>
      <c r="D154" s="19" t="str">
        <f>IF(AND(A154&lt;&gt;"",COUNTIF(A16:A515,A154)&gt;1),"⚠️ JÁ PESADO! Peso: "&amp;TEXT(IFERROR(INDEX(B16:B515,MATCH(A154,A16:A515,0)),0),"#,##0.0")&amp;" kg  Lote: "&amp;IFERROR(INDEX(C16:C515,MATCH(A154,A16:A515,0)),"?"),"")</f>
        <v/>
      </c>
    </row>
    <row r="155" spans="1:4" ht="16.5" customHeight="1" x14ac:dyDescent="0.25">
      <c r="A155" s="20"/>
      <c r="B155" s="21"/>
      <c r="C155" s="22"/>
      <c r="D155" s="23" t="str">
        <f>IF(AND(A155&lt;&gt;"",COUNTIF(A16:A515,A155)&gt;1),"⚠️ JÁ PESADO! Peso: "&amp;TEXT(IFERROR(INDEX(B16:B515,MATCH(A155,A16:A515,0)),0),"#,##0.0")&amp;" kg  Lote: "&amp;IFERROR(INDEX(C16:C515,MATCH(A155,A16:A515,0)),"?"),"")</f>
        <v/>
      </c>
    </row>
    <row r="156" spans="1:4" ht="16.5" customHeight="1" x14ac:dyDescent="0.25">
      <c r="A156" s="16"/>
      <c r="B156" s="17"/>
      <c r="C156" s="18"/>
      <c r="D156" s="19" t="str">
        <f>IF(AND(A156&lt;&gt;"",COUNTIF(A16:A515,A156)&gt;1),"⚠️ JÁ PESADO! Peso: "&amp;TEXT(IFERROR(INDEX(B16:B515,MATCH(A156,A16:A515,0)),0),"#,##0.0")&amp;" kg  Lote: "&amp;IFERROR(INDEX(C16:C515,MATCH(A156,A16:A515,0)),"?"),"")</f>
        <v/>
      </c>
    </row>
    <row r="157" spans="1:4" ht="16.5" customHeight="1" x14ac:dyDescent="0.25">
      <c r="A157" s="20"/>
      <c r="B157" s="21"/>
      <c r="C157" s="22"/>
      <c r="D157" s="23" t="str">
        <f>IF(AND(A157&lt;&gt;"",COUNTIF(A16:A515,A157)&gt;1),"⚠️ JÁ PESADO! Peso: "&amp;TEXT(IFERROR(INDEX(B16:B515,MATCH(A157,A16:A515,0)),0),"#,##0.0")&amp;" kg  Lote: "&amp;IFERROR(INDEX(C16:C515,MATCH(A157,A16:A515,0)),"?"),"")</f>
        <v/>
      </c>
    </row>
    <row r="158" spans="1:4" ht="16.5" customHeight="1" x14ac:dyDescent="0.25">
      <c r="A158" s="16"/>
      <c r="B158" s="17"/>
      <c r="C158" s="18"/>
      <c r="D158" s="19" t="str">
        <f>IF(AND(A158&lt;&gt;"",COUNTIF(A16:A515,A158)&gt;1),"⚠️ JÁ PESADO! Peso: "&amp;TEXT(IFERROR(INDEX(B16:B515,MATCH(A158,A16:A515,0)),0),"#,##0.0")&amp;" kg  Lote: "&amp;IFERROR(INDEX(C16:C515,MATCH(A158,A16:A515,0)),"?"),"")</f>
        <v/>
      </c>
    </row>
    <row r="159" spans="1:4" ht="16.5" customHeight="1" x14ac:dyDescent="0.25">
      <c r="A159" s="20"/>
      <c r="B159" s="21"/>
      <c r="C159" s="22"/>
      <c r="D159" s="23" t="str">
        <f>IF(AND(A159&lt;&gt;"",COUNTIF(A16:A515,A159)&gt;1),"⚠️ JÁ PESADO! Peso: "&amp;TEXT(IFERROR(INDEX(B16:B515,MATCH(A159,A16:A515,0)),0),"#,##0.0")&amp;" kg  Lote: "&amp;IFERROR(INDEX(C16:C515,MATCH(A159,A16:A515,0)),"?"),"")</f>
        <v/>
      </c>
    </row>
    <row r="160" spans="1:4" ht="16.5" customHeight="1" x14ac:dyDescent="0.25">
      <c r="A160" s="16"/>
      <c r="B160" s="17"/>
      <c r="C160" s="18"/>
      <c r="D160" s="19" t="str">
        <f>IF(AND(A160&lt;&gt;"",COUNTIF(A16:A515,A160)&gt;1),"⚠️ JÁ PESADO! Peso: "&amp;TEXT(IFERROR(INDEX(B16:B515,MATCH(A160,A16:A515,0)),0),"#,##0.0")&amp;" kg  Lote: "&amp;IFERROR(INDEX(C16:C515,MATCH(A160,A16:A515,0)),"?"),"")</f>
        <v/>
      </c>
    </row>
    <row r="161" spans="1:4" ht="16.5" customHeight="1" x14ac:dyDescent="0.25">
      <c r="A161" s="20"/>
      <c r="B161" s="21"/>
      <c r="C161" s="22"/>
      <c r="D161" s="23" t="str">
        <f>IF(AND(A161&lt;&gt;"",COUNTIF(A16:A515,A161)&gt;1),"⚠️ JÁ PESADO! Peso: "&amp;TEXT(IFERROR(INDEX(B16:B515,MATCH(A161,A16:A515,0)),0),"#,##0.0")&amp;" kg  Lote: "&amp;IFERROR(INDEX(C16:C515,MATCH(A161,A16:A515,0)),"?"),"")</f>
        <v/>
      </c>
    </row>
    <row r="162" spans="1:4" ht="16.5" customHeight="1" x14ac:dyDescent="0.25">
      <c r="A162" s="16"/>
      <c r="B162" s="17"/>
      <c r="C162" s="18"/>
      <c r="D162" s="19" t="str">
        <f>IF(AND(A162&lt;&gt;"",COUNTIF(A16:A515,A162)&gt;1),"⚠️ JÁ PESADO! Peso: "&amp;TEXT(IFERROR(INDEX(B16:B515,MATCH(A162,A16:A515,0)),0),"#,##0.0")&amp;" kg  Lote: "&amp;IFERROR(INDEX(C16:C515,MATCH(A162,A16:A515,0)),"?"),"")</f>
        <v/>
      </c>
    </row>
    <row r="163" spans="1:4" ht="16.5" customHeight="1" x14ac:dyDescent="0.25">
      <c r="A163" s="20"/>
      <c r="B163" s="21"/>
      <c r="C163" s="22"/>
      <c r="D163" s="23" t="str">
        <f>IF(AND(A163&lt;&gt;"",COUNTIF(A16:A515,A163)&gt;1),"⚠️ JÁ PESADO! Peso: "&amp;TEXT(IFERROR(INDEX(B16:B515,MATCH(A163,A16:A515,0)),0),"#,##0.0")&amp;" kg  Lote: "&amp;IFERROR(INDEX(C16:C515,MATCH(A163,A16:A515,0)),"?"),"")</f>
        <v/>
      </c>
    </row>
    <row r="164" spans="1:4" ht="16.5" customHeight="1" x14ac:dyDescent="0.25">
      <c r="A164" s="16"/>
      <c r="B164" s="17"/>
      <c r="C164" s="18"/>
      <c r="D164" s="19" t="str">
        <f>IF(AND(A164&lt;&gt;"",COUNTIF(A16:A515,A164)&gt;1),"⚠️ JÁ PESADO! Peso: "&amp;TEXT(IFERROR(INDEX(B16:B515,MATCH(A164,A16:A515,0)),0),"#,##0.0")&amp;" kg  Lote: "&amp;IFERROR(INDEX(C16:C515,MATCH(A164,A16:A515,0)),"?"),"")</f>
        <v/>
      </c>
    </row>
    <row r="165" spans="1:4" ht="16.5" customHeight="1" x14ac:dyDescent="0.25">
      <c r="A165" s="20"/>
      <c r="B165" s="21"/>
      <c r="C165" s="22"/>
      <c r="D165" s="23" t="str">
        <f>IF(AND(A165&lt;&gt;"",COUNTIF(A16:A515,A165)&gt;1),"⚠️ JÁ PESADO! Peso: "&amp;TEXT(IFERROR(INDEX(B16:B515,MATCH(A165,A16:A515,0)),0),"#,##0.0")&amp;" kg  Lote: "&amp;IFERROR(INDEX(C16:C515,MATCH(A165,A16:A515,0)),"?"),"")</f>
        <v/>
      </c>
    </row>
    <row r="166" spans="1:4" ht="16.5" customHeight="1" x14ac:dyDescent="0.25">
      <c r="A166" s="16"/>
      <c r="B166" s="17"/>
      <c r="C166" s="18"/>
      <c r="D166" s="19" t="str">
        <f>IF(AND(A166&lt;&gt;"",COUNTIF(A16:A515,A166)&gt;1),"⚠️ JÁ PESADO! Peso: "&amp;TEXT(IFERROR(INDEX(B16:B515,MATCH(A166,A16:A515,0)),0),"#,##0.0")&amp;" kg  Lote: "&amp;IFERROR(INDEX(C16:C515,MATCH(A166,A16:A515,0)),"?"),"")</f>
        <v/>
      </c>
    </row>
    <row r="167" spans="1:4" ht="16.5" customHeight="1" x14ac:dyDescent="0.25">
      <c r="A167" s="20"/>
      <c r="B167" s="21"/>
      <c r="C167" s="22"/>
      <c r="D167" s="23" t="str">
        <f>IF(AND(A167&lt;&gt;"",COUNTIF(A16:A515,A167)&gt;1),"⚠️ JÁ PESADO! Peso: "&amp;TEXT(IFERROR(INDEX(B16:B515,MATCH(A167,A16:A515,0)),0),"#,##0.0")&amp;" kg  Lote: "&amp;IFERROR(INDEX(C16:C515,MATCH(A167,A16:A515,0)),"?"),"")</f>
        <v/>
      </c>
    </row>
    <row r="168" spans="1:4" ht="16.5" customHeight="1" x14ac:dyDescent="0.25">
      <c r="A168" s="16"/>
      <c r="B168" s="17"/>
      <c r="C168" s="18"/>
      <c r="D168" s="19" t="str">
        <f>IF(AND(A168&lt;&gt;"",COUNTIF(A16:A515,A168)&gt;1),"⚠️ JÁ PESADO! Peso: "&amp;TEXT(IFERROR(INDEX(B16:B515,MATCH(A168,A16:A515,0)),0),"#,##0.0")&amp;" kg  Lote: "&amp;IFERROR(INDEX(C16:C515,MATCH(A168,A16:A515,0)),"?"),"")</f>
        <v/>
      </c>
    </row>
    <row r="169" spans="1:4" ht="16.5" customHeight="1" x14ac:dyDescent="0.25">
      <c r="A169" s="20"/>
      <c r="B169" s="21"/>
      <c r="C169" s="22"/>
      <c r="D169" s="23" t="str">
        <f>IF(AND(A169&lt;&gt;"",COUNTIF(A16:A515,A169)&gt;1),"⚠️ JÁ PESADO! Peso: "&amp;TEXT(IFERROR(INDEX(B16:B515,MATCH(A169,A16:A515,0)),0),"#,##0.0")&amp;" kg  Lote: "&amp;IFERROR(INDEX(C16:C515,MATCH(A169,A16:A515,0)),"?"),"")</f>
        <v/>
      </c>
    </row>
    <row r="170" spans="1:4" ht="16.5" customHeight="1" x14ac:dyDescent="0.25">
      <c r="A170" s="16"/>
      <c r="B170" s="17"/>
      <c r="C170" s="18"/>
      <c r="D170" s="19" t="str">
        <f>IF(AND(A170&lt;&gt;"",COUNTIF(A16:A515,A170)&gt;1),"⚠️ JÁ PESADO! Peso: "&amp;TEXT(IFERROR(INDEX(B16:B515,MATCH(A170,A16:A515,0)),0),"#,##0.0")&amp;" kg  Lote: "&amp;IFERROR(INDEX(C16:C515,MATCH(A170,A16:A515,0)),"?"),"")</f>
        <v/>
      </c>
    </row>
    <row r="171" spans="1:4" ht="16.5" customHeight="1" x14ac:dyDescent="0.25">
      <c r="A171" s="20"/>
      <c r="B171" s="21"/>
      <c r="C171" s="22"/>
      <c r="D171" s="23" t="str">
        <f>IF(AND(A171&lt;&gt;"",COUNTIF(A16:A515,A171)&gt;1),"⚠️ JÁ PESADO! Peso: "&amp;TEXT(IFERROR(INDEX(B16:B515,MATCH(A171,A16:A515,0)),0),"#,##0.0")&amp;" kg  Lote: "&amp;IFERROR(INDEX(C16:C515,MATCH(A171,A16:A515,0)),"?"),"")</f>
        <v/>
      </c>
    </row>
    <row r="172" spans="1:4" ht="16.5" customHeight="1" x14ac:dyDescent="0.25">
      <c r="A172" s="16"/>
      <c r="B172" s="17"/>
      <c r="C172" s="18"/>
      <c r="D172" s="19" t="str">
        <f>IF(AND(A172&lt;&gt;"",COUNTIF(A16:A515,A172)&gt;1),"⚠️ JÁ PESADO! Peso: "&amp;TEXT(IFERROR(INDEX(B16:B515,MATCH(A172,A16:A515,0)),0),"#,##0.0")&amp;" kg  Lote: "&amp;IFERROR(INDEX(C16:C515,MATCH(A172,A16:A515,0)),"?"),"")</f>
        <v/>
      </c>
    </row>
    <row r="173" spans="1:4" ht="16.5" customHeight="1" x14ac:dyDescent="0.25">
      <c r="A173" s="20"/>
      <c r="B173" s="21"/>
      <c r="C173" s="22"/>
      <c r="D173" s="23" t="str">
        <f>IF(AND(A173&lt;&gt;"",COUNTIF(A16:A515,A173)&gt;1),"⚠️ JÁ PESADO! Peso: "&amp;TEXT(IFERROR(INDEX(B16:B515,MATCH(A173,A16:A515,0)),0),"#,##0.0")&amp;" kg  Lote: "&amp;IFERROR(INDEX(C16:C515,MATCH(A173,A16:A515,0)),"?"),"")</f>
        <v/>
      </c>
    </row>
    <row r="174" spans="1:4" ht="16.5" customHeight="1" x14ac:dyDescent="0.25">
      <c r="A174" s="16"/>
      <c r="B174" s="17"/>
      <c r="C174" s="18"/>
      <c r="D174" s="19" t="str">
        <f>IF(AND(A174&lt;&gt;"",COUNTIF(A16:A515,A174)&gt;1),"⚠️ JÁ PESADO! Peso: "&amp;TEXT(IFERROR(INDEX(B16:B515,MATCH(A174,A16:A515,0)),0),"#,##0.0")&amp;" kg  Lote: "&amp;IFERROR(INDEX(C16:C515,MATCH(A174,A16:A515,0)),"?"),"")</f>
        <v/>
      </c>
    </row>
    <row r="175" spans="1:4" ht="16.5" customHeight="1" x14ac:dyDescent="0.25">
      <c r="A175" s="20"/>
      <c r="B175" s="21"/>
      <c r="C175" s="22"/>
      <c r="D175" s="23" t="str">
        <f>IF(AND(A175&lt;&gt;"",COUNTIF(A16:A515,A175)&gt;1),"⚠️ JÁ PESADO! Peso: "&amp;TEXT(IFERROR(INDEX(B16:B515,MATCH(A175,A16:A515,0)),0),"#,##0.0")&amp;" kg  Lote: "&amp;IFERROR(INDEX(C16:C515,MATCH(A175,A16:A515,0)),"?"),"")</f>
        <v/>
      </c>
    </row>
    <row r="176" spans="1:4" ht="16.5" customHeight="1" x14ac:dyDescent="0.25">
      <c r="A176" s="16"/>
      <c r="B176" s="17"/>
      <c r="C176" s="18"/>
      <c r="D176" s="19" t="str">
        <f>IF(AND(A176&lt;&gt;"",COUNTIF(A16:A515,A176)&gt;1),"⚠️ JÁ PESADO! Peso: "&amp;TEXT(IFERROR(INDEX(B16:B515,MATCH(A176,A16:A515,0)),0),"#,##0.0")&amp;" kg  Lote: "&amp;IFERROR(INDEX(C16:C515,MATCH(A176,A16:A515,0)),"?"),"")</f>
        <v/>
      </c>
    </row>
    <row r="177" spans="1:4" ht="16.5" customHeight="1" x14ac:dyDescent="0.25">
      <c r="A177" s="20"/>
      <c r="B177" s="21"/>
      <c r="C177" s="22"/>
      <c r="D177" s="23" t="str">
        <f>IF(AND(A177&lt;&gt;"",COUNTIF(A16:A515,A177)&gt;1),"⚠️ JÁ PESADO! Peso: "&amp;TEXT(IFERROR(INDEX(B16:B515,MATCH(A177,A16:A515,0)),0),"#,##0.0")&amp;" kg  Lote: "&amp;IFERROR(INDEX(C16:C515,MATCH(A177,A16:A515,0)),"?"),"")</f>
        <v/>
      </c>
    </row>
    <row r="178" spans="1:4" ht="16.5" customHeight="1" x14ac:dyDescent="0.25">
      <c r="A178" s="16"/>
      <c r="B178" s="17"/>
      <c r="C178" s="18"/>
      <c r="D178" s="19" t="str">
        <f>IF(AND(A178&lt;&gt;"",COUNTIF(A16:A515,A178)&gt;1),"⚠️ JÁ PESADO! Peso: "&amp;TEXT(IFERROR(INDEX(B16:B515,MATCH(A178,A16:A515,0)),0),"#,##0.0")&amp;" kg  Lote: "&amp;IFERROR(INDEX(C16:C515,MATCH(A178,A16:A515,0)),"?"),"")</f>
        <v/>
      </c>
    </row>
    <row r="179" spans="1:4" ht="16.5" customHeight="1" x14ac:dyDescent="0.25">
      <c r="A179" s="20"/>
      <c r="B179" s="21"/>
      <c r="C179" s="22"/>
      <c r="D179" s="23" t="str">
        <f>IF(AND(A179&lt;&gt;"",COUNTIF(A16:A515,A179)&gt;1),"⚠️ JÁ PESADO! Peso: "&amp;TEXT(IFERROR(INDEX(B16:B515,MATCH(A179,A16:A515,0)),0),"#,##0.0")&amp;" kg  Lote: "&amp;IFERROR(INDEX(C16:C515,MATCH(A179,A16:A515,0)),"?"),"")</f>
        <v/>
      </c>
    </row>
    <row r="180" spans="1:4" ht="16.5" customHeight="1" x14ac:dyDescent="0.25">
      <c r="A180" s="16"/>
      <c r="B180" s="17"/>
      <c r="C180" s="18"/>
      <c r="D180" s="19" t="str">
        <f>IF(AND(A180&lt;&gt;"",COUNTIF(A16:A515,A180)&gt;1),"⚠️ JÁ PESADO! Peso: "&amp;TEXT(IFERROR(INDEX(B16:B515,MATCH(A180,A16:A515,0)),0),"#,##0.0")&amp;" kg  Lote: "&amp;IFERROR(INDEX(C16:C515,MATCH(A180,A16:A515,0)),"?"),"")</f>
        <v/>
      </c>
    </row>
    <row r="181" spans="1:4" ht="16.5" customHeight="1" x14ac:dyDescent="0.25">
      <c r="A181" s="20"/>
      <c r="B181" s="21"/>
      <c r="C181" s="22"/>
      <c r="D181" s="23" t="str">
        <f>IF(AND(A181&lt;&gt;"",COUNTIF(A16:A515,A181)&gt;1),"⚠️ JÁ PESADO! Peso: "&amp;TEXT(IFERROR(INDEX(B16:B515,MATCH(A181,A16:A515,0)),0),"#,##0.0")&amp;" kg  Lote: "&amp;IFERROR(INDEX(C16:C515,MATCH(A181,A16:A515,0)),"?"),"")</f>
        <v/>
      </c>
    </row>
    <row r="182" spans="1:4" ht="16.5" customHeight="1" x14ac:dyDescent="0.25">
      <c r="A182" s="16"/>
      <c r="B182" s="17"/>
      <c r="C182" s="18"/>
      <c r="D182" s="19" t="str">
        <f>IF(AND(A182&lt;&gt;"",COUNTIF(A16:A515,A182)&gt;1),"⚠️ JÁ PESADO! Peso: "&amp;TEXT(IFERROR(INDEX(B16:B515,MATCH(A182,A16:A515,0)),0),"#,##0.0")&amp;" kg  Lote: "&amp;IFERROR(INDEX(C16:C515,MATCH(A182,A16:A515,0)),"?"),"")</f>
        <v/>
      </c>
    </row>
    <row r="183" spans="1:4" ht="16.5" customHeight="1" x14ac:dyDescent="0.25">
      <c r="A183" s="20"/>
      <c r="B183" s="21"/>
      <c r="C183" s="22"/>
      <c r="D183" s="23" t="str">
        <f>IF(AND(A183&lt;&gt;"",COUNTIF(A16:A515,A183)&gt;1),"⚠️ JÁ PESADO! Peso: "&amp;TEXT(IFERROR(INDEX(B16:B515,MATCH(A183,A16:A515,0)),0),"#,##0.0")&amp;" kg  Lote: "&amp;IFERROR(INDEX(C16:C515,MATCH(A183,A16:A515,0)),"?"),"")</f>
        <v/>
      </c>
    </row>
    <row r="184" spans="1:4" ht="16.5" customHeight="1" x14ac:dyDescent="0.25">
      <c r="A184" s="16"/>
      <c r="B184" s="17"/>
      <c r="C184" s="18"/>
      <c r="D184" s="19" t="str">
        <f>IF(AND(A184&lt;&gt;"",COUNTIF(A16:A515,A184)&gt;1),"⚠️ JÁ PESADO! Peso: "&amp;TEXT(IFERROR(INDEX(B16:B515,MATCH(A184,A16:A515,0)),0),"#,##0.0")&amp;" kg  Lote: "&amp;IFERROR(INDEX(C16:C515,MATCH(A184,A16:A515,0)),"?"),"")</f>
        <v/>
      </c>
    </row>
    <row r="185" spans="1:4" ht="16.5" customHeight="1" x14ac:dyDescent="0.25">
      <c r="A185" s="20"/>
      <c r="B185" s="21"/>
      <c r="C185" s="22"/>
      <c r="D185" s="23" t="str">
        <f>IF(AND(A185&lt;&gt;"",COUNTIF(A16:A515,A185)&gt;1),"⚠️ JÁ PESADO! Peso: "&amp;TEXT(IFERROR(INDEX(B16:B515,MATCH(A185,A16:A515,0)),0),"#,##0.0")&amp;" kg  Lote: "&amp;IFERROR(INDEX(C16:C515,MATCH(A185,A16:A515,0)),"?"),"")</f>
        <v/>
      </c>
    </row>
    <row r="186" spans="1:4" ht="16.5" customHeight="1" x14ac:dyDescent="0.25">
      <c r="A186" s="16"/>
      <c r="B186" s="17"/>
      <c r="C186" s="18"/>
      <c r="D186" s="19" t="str">
        <f>IF(AND(A186&lt;&gt;"",COUNTIF(A16:A515,A186)&gt;1),"⚠️ JÁ PESADO! Peso: "&amp;TEXT(IFERROR(INDEX(B16:B515,MATCH(A186,A16:A515,0)),0),"#,##0.0")&amp;" kg  Lote: "&amp;IFERROR(INDEX(C16:C515,MATCH(A186,A16:A515,0)),"?"),"")</f>
        <v/>
      </c>
    </row>
    <row r="187" spans="1:4" ht="16.5" customHeight="1" x14ac:dyDescent="0.25">
      <c r="A187" s="20"/>
      <c r="B187" s="21"/>
      <c r="C187" s="22"/>
      <c r="D187" s="23" t="str">
        <f>IF(AND(A187&lt;&gt;"",COUNTIF(A16:A515,A187)&gt;1),"⚠️ JÁ PESADO! Peso: "&amp;TEXT(IFERROR(INDEX(B16:B515,MATCH(A187,A16:A515,0)),0),"#,##0.0")&amp;" kg  Lote: "&amp;IFERROR(INDEX(C16:C515,MATCH(A187,A16:A515,0)),"?"),"")</f>
        <v/>
      </c>
    </row>
    <row r="188" spans="1:4" ht="16.5" customHeight="1" x14ac:dyDescent="0.25">
      <c r="A188" s="16"/>
      <c r="B188" s="17"/>
      <c r="C188" s="18"/>
      <c r="D188" s="19" t="str">
        <f>IF(AND(A188&lt;&gt;"",COUNTIF(A16:A515,A188)&gt;1),"⚠️ JÁ PESADO! Peso: "&amp;TEXT(IFERROR(INDEX(B16:B515,MATCH(A188,A16:A515,0)),0),"#,##0.0")&amp;" kg  Lote: "&amp;IFERROR(INDEX(C16:C515,MATCH(A188,A16:A515,0)),"?"),"")</f>
        <v/>
      </c>
    </row>
    <row r="189" spans="1:4" ht="16.5" customHeight="1" x14ac:dyDescent="0.25">
      <c r="A189" s="20"/>
      <c r="B189" s="21"/>
      <c r="C189" s="22"/>
      <c r="D189" s="23" t="str">
        <f>IF(AND(A189&lt;&gt;"",COUNTIF(A16:A515,A189)&gt;1),"⚠️ JÁ PESADO! Peso: "&amp;TEXT(IFERROR(INDEX(B16:B515,MATCH(A189,A16:A515,0)),0),"#,##0.0")&amp;" kg  Lote: "&amp;IFERROR(INDEX(C16:C515,MATCH(A189,A16:A515,0)),"?"),"")</f>
        <v/>
      </c>
    </row>
    <row r="190" spans="1:4" ht="16.5" customHeight="1" x14ac:dyDescent="0.25">
      <c r="A190" s="16"/>
      <c r="B190" s="17"/>
      <c r="C190" s="18"/>
      <c r="D190" s="19" t="str">
        <f>IF(AND(A190&lt;&gt;"",COUNTIF(A16:A515,A190)&gt;1),"⚠️ JÁ PESADO! Peso: "&amp;TEXT(IFERROR(INDEX(B16:B515,MATCH(A190,A16:A515,0)),0),"#,##0.0")&amp;" kg  Lote: "&amp;IFERROR(INDEX(C16:C515,MATCH(A190,A16:A515,0)),"?"),"")</f>
        <v/>
      </c>
    </row>
    <row r="191" spans="1:4" ht="16.5" customHeight="1" x14ac:dyDescent="0.25">
      <c r="A191" s="20"/>
      <c r="B191" s="21"/>
      <c r="C191" s="22"/>
      <c r="D191" s="23" t="str">
        <f>IF(AND(A191&lt;&gt;"",COUNTIF(A16:A515,A191)&gt;1),"⚠️ JÁ PESADO! Peso: "&amp;TEXT(IFERROR(INDEX(B16:B515,MATCH(A191,A16:A515,0)),0),"#,##0.0")&amp;" kg  Lote: "&amp;IFERROR(INDEX(C16:C515,MATCH(A191,A16:A515,0)),"?"),"")</f>
        <v/>
      </c>
    </row>
    <row r="192" spans="1:4" ht="16.5" customHeight="1" x14ac:dyDescent="0.25">
      <c r="A192" s="16"/>
      <c r="B192" s="17"/>
      <c r="C192" s="18"/>
      <c r="D192" s="19" t="str">
        <f>IF(AND(A192&lt;&gt;"",COUNTIF(A16:A515,A192)&gt;1),"⚠️ JÁ PESADO! Peso: "&amp;TEXT(IFERROR(INDEX(B16:B515,MATCH(A192,A16:A515,0)),0),"#,##0.0")&amp;" kg  Lote: "&amp;IFERROR(INDEX(C16:C515,MATCH(A192,A16:A515,0)),"?"),"")</f>
        <v/>
      </c>
    </row>
    <row r="193" spans="1:4" ht="16.5" customHeight="1" x14ac:dyDescent="0.25">
      <c r="A193" s="20"/>
      <c r="B193" s="21"/>
      <c r="C193" s="22"/>
      <c r="D193" s="23" t="str">
        <f>IF(AND(A193&lt;&gt;"",COUNTIF(A16:A515,A193)&gt;1),"⚠️ JÁ PESADO! Peso: "&amp;TEXT(IFERROR(INDEX(B16:B515,MATCH(A193,A16:A515,0)),0),"#,##0.0")&amp;" kg  Lote: "&amp;IFERROR(INDEX(C16:C515,MATCH(A193,A16:A515,0)),"?"),"")</f>
        <v/>
      </c>
    </row>
    <row r="194" spans="1:4" ht="16.5" customHeight="1" x14ac:dyDescent="0.25">
      <c r="A194" s="16"/>
      <c r="B194" s="17"/>
      <c r="C194" s="18"/>
      <c r="D194" s="19" t="str">
        <f>IF(AND(A194&lt;&gt;"",COUNTIF(A16:A515,A194)&gt;1),"⚠️ JÁ PESADO! Peso: "&amp;TEXT(IFERROR(INDEX(B16:B515,MATCH(A194,A16:A515,0)),0),"#,##0.0")&amp;" kg  Lote: "&amp;IFERROR(INDEX(C16:C515,MATCH(A194,A16:A515,0)),"?"),"")</f>
        <v/>
      </c>
    </row>
    <row r="195" spans="1:4" ht="16.5" customHeight="1" x14ac:dyDescent="0.25">
      <c r="A195" s="20"/>
      <c r="B195" s="21"/>
      <c r="C195" s="22"/>
      <c r="D195" s="23" t="str">
        <f>IF(AND(A195&lt;&gt;"",COUNTIF(A16:A515,A195)&gt;1),"⚠️ JÁ PESADO! Peso: "&amp;TEXT(IFERROR(INDEX(B16:B515,MATCH(A195,A16:A515,0)),0),"#,##0.0")&amp;" kg  Lote: "&amp;IFERROR(INDEX(C16:C515,MATCH(A195,A16:A515,0)),"?"),"")</f>
        <v/>
      </c>
    </row>
    <row r="196" spans="1:4" ht="16.5" customHeight="1" x14ac:dyDescent="0.25">
      <c r="A196" s="16"/>
      <c r="B196" s="17"/>
      <c r="C196" s="18"/>
      <c r="D196" s="19" t="str">
        <f>IF(AND(A196&lt;&gt;"",COUNTIF(A16:A515,A196)&gt;1),"⚠️ JÁ PESADO! Peso: "&amp;TEXT(IFERROR(INDEX(B16:B515,MATCH(A196,A16:A515,0)),0),"#,##0.0")&amp;" kg  Lote: "&amp;IFERROR(INDEX(C16:C515,MATCH(A196,A16:A515,0)),"?"),"")</f>
        <v/>
      </c>
    </row>
    <row r="197" spans="1:4" ht="16.5" customHeight="1" x14ac:dyDescent="0.25">
      <c r="A197" s="20"/>
      <c r="B197" s="21"/>
      <c r="C197" s="22"/>
      <c r="D197" s="23" t="str">
        <f>IF(AND(A197&lt;&gt;"",COUNTIF(A16:A515,A197)&gt;1),"⚠️ JÁ PESADO! Peso: "&amp;TEXT(IFERROR(INDEX(B16:B515,MATCH(A197,A16:A515,0)),0),"#,##0.0")&amp;" kg  Lote: "&amp;IFERROR(INDEX(C16:C515,MATCH(A197,A16:A515,0)),"?"),"")</f>
        <v/>
      </c>
    </row>
    <row r="198" spans="1:4" ht="16.5" customHeight="1" x14ac:dyDescent="0.25">
      <c r="A198" s="16"/>
      <c r="B198" s="17"/>
      <c r="C198" s="18"/>
      <c r="D198" s="19" t="str">
        <f>IF(AND(A198&lt;&gt;"",COUNTIF(A16:A515,A198)&gt;1),"⚠️ JÁ PESADO! Peso: "&amp;TEXT(IFERROR(INDEX(B16:B515,MATCH(A198,A16:A515,0)),0),"#,##0.0")&amp;" kg  Lote: "&amp;IFERROR(INDEX(C16:C515,MATCH(A198,A16:A515,0)),"?"),"")</f>
        <v/>
      </c>
    </row>
    <row r="199" spans="1:4" ht="16.5" customHeight="1" x14ac:dyDescent="0.25">
      <c r="A199" s="20"/>
      <c r="B199" s="21"/>
      <c r="C199" s="22"/>
      <c r="D199" s="23" t="str">
        <f>IF(AND(A199&lt;&gt;"",COUNTIF(A16:A515,A199)&gt;1),"⚠️ JÁ PESADO! Peso: "&amp;TEXT(IFERROR(INDEX(B16:B515,MATCH(A199,A16:A515,0)),0),"#,##0.0")&amp;" kg  Lote: "&amp;IFERROR(INDEX(C16:C515,MATCH(A199,A16:A515,0)),"?"),"")</f>
        <v/>
      </c>
    </row>
    <row r="200" spans="1:4" ht="16.5" customHeight="1" x14ac:dyDescent="0.25">
      <c r="A200" s="16"/>
      <c r="B200" s="17"/>
      <c r="C200" s="18"/>
      <c r="D200" s="19" t="str">
        <f>IF(AND(A200&lt;&gt;"",COUNTIF(A16:A515,A200)&gt;1),"⚠️ JÁ PESADO! Peso: "&amp;TEXT(IFERROR(INDEX(B16:B515,MATCH(A200,A16:A515,0)),0),"#,##0.0")&amp;" kg  Lote: "&amp;IFERROR(INDEX(C16:C515,MATCH(A200,A16:A515,0)),"?"),"")</f>
        <v/>
      </c>
    </row>
    <row r="201" spans="1:4" ht="16.5" customHeight="1" x14ac:dyDescent="0.25">
      <c r="A201" s="20"/>
      <c r="B201" s="21"/>
      <c r="C201" s="22"/>
      <c r="D201" s="23" t="str">
        <f>IF(AND(A201&lt;&gt;"",COUNTIF(A16:A515,A201)&gt;1),"⚠️ JÁ PESADO! Peso: "&amp;TEXT(IFERROR(INDEX(B16:B515,MATCH(A201,A16:A515,0)),0),"#,##0.0")&amp;" kg  Lote: "&amp;IFERROR(INDEX(C16:C515,MATCH(A201,A16:A515,0)),"?"),"")</f>
        <v/>
      </c>
    </row>
    <row r="202" spans="1:4" ht="16.5" customHeight="1" x14ac:dyDescent="0.25">
      <c r="A202" s="16"/>
      <c r="B202" s="17"/>
      <c r="C202" s="18"/>
      <c r="D202" s="19" t="str">
        <f>IF(AND(A202&lt;&gt;"",COUNTIF(A16:A515,A202)&gt;1),"⚠️ JÁ PESADO! Peso: "&amp;TEXT(IFERROR(INDEX(B16:B515,MATCH(A202,A16:A515,0)),0),"#,##0.0")&amp;" kg  Lote: "&amp;IFERROR(INDEX(C16:C515,MATCH(A202,A16:A515,0)),"?"),"")</f>
        <v/>
      </c>
    </row>
    <row r="203" spans="1:4" ht="16.5" customHeight="1" x14ac:dyDescent="0.25">
      <c r="A203" s="20"/>
      <c r="B203" s="21"/>
      <c r="C203" s="22"/>
      <c r="D203" s="23" t="str">
        <f>IF(AND(A203&lt;&gt;"",COUNTIF(A16:A515,A203)&gt;1),"⚠️ JÁ PESADO! Peso: "&amp;TEXT(IFERROR(INDEX(B16:B515,MATCH(A203,A16:A515,0)),0),"#,##0.0")&amp;" kg  Lote: "&amp;IFERROR(INDEX(C16:C515,MATCH(A203,A16:A515,0)),"?"),"")</f>
        <v/>
      </c>
    </row>
    <row r="204" spans="1:4" ht="16.5" customHeight="1" x14ac:dyDescent="0.25">
      <c r="A204" s="16"/>
      <c r="B204" s="17"/>
      <c r="C204" s="18"/>
      <c r="D204" s="19" t="str">
        <f>IF(AND(A204&lt;&gt;"",COUNTIF(A16:A515,A204)&gt;1),"⚠️ JÁ PESADO! Peso: "&amp;TEXT(IFERROR(INDEX(B16:B515,MATCH(A204,A16:A515,0)),0),"#,##0.0")&amp;" kg  Lote: "&amp;IFERROR(INDEX(C16:C515,MATCH(A204,A16:A515,0)),"?"),"")</f>
        <v/>
      </c>
    </row>
    <row r="205" spans="1:4" ht="16.5" customHeight="1" x14ac:dyDescent="0.25">
      <c r="A205" s="20"/>
      <c r="B205" s="21"/>
      <c r="C205" s="22"/>
      <c r="D205" s="23" t="str">
        <f>IF(AND(A205&lt;&gt;"",COUNTIF(A16:A515,A205)&gt;1),"⚠️ JÁ PESADO! Peso: "&amp;TEXT(IFERROR(INDEX(B16:B515,MATCH(A205,A16:A515,0)),0),"#,##0.0")&amp;" kg  Lote: "&amp;IFERROR(INDEX(C16:C515,MATCH(A205,A16:A515,0)),"?"),"")</f>
        <v/>
      </c>
    </row>
    <row r="206" spans="1:4" ht="16.5" customHeight="1" x14ac:dyDescent="0.25">
      <c r="A206" s="16"/>
      <c r="B206" s="17"/>
      <c r="C206" s="18"/>
      <c r="D206" s="19" t="str">
        <f>IF(AND(A206&lt;&gt;"",COUNTIF(A16:A515,A206)&gt;1),"⚠️ JÁ PESADO! Peso: "&amp;TEXT(IFERROR(INDEX(B16:B515,MATCH(A206,A16:A515,0)),0),"#,##0.0")&amp;" kg  Lote: "&amp;IFERROR(INDEX(C16:C515,MATCH(A206,A16:A515,0)),"?"),"")</f>
        <v/>
      </c>
    </row>
    <row r="207" spans="1:4" ht="16.5" customHeight="1" x14ac:dyDescent="0.25">
      <c r="A207" s="20"/>
      <c r="B207" s="21"/>
      <c r="C207" s="22"/>
      <c r="D207" s="23" t="str">
        <f>IF(AND(A207&lt;&gt;"",COUNTIF(A16:A515,A207)&gt;1),"⚠️ JÁ PESADO! Peso: "&amp;TEXT(IFERROR(INDEX(B16:B515,MATCH(A207,A16:A515,0)),0),"#,##0.0")&amp;" kg  Lote: "&amp;IFERROR(INDEX(C16:C515,MATCH(A207,A16:A515,0)),"?"),"")</f>
        <v/>
      </c>
    </row>
    <row r="208" spans="1:4" ht="16.5" customHeight="1" x14ac:dyDescent="0.25">
      <c r="A208" s="16"/>
      <c r="B208" s="17"/>
      <c r="C208" s="18"/>
      <c r="D208" s="19" t="str">
        <f>IF(AND(A208&lt;&gt;"",COUNTIF(A16:A515,A208)&gt;1),"⚠️ JÁ PESADO! Peso: "&amp;TEXT(IFERROR(INDEX(B16:B515,MATCH(A208,A16:A515,0)),0),"#,##0.0")&amp;" kg  Lote: "&amp;IFERROR(INDEX(C16:C515,MATCH(A208,A16:A515,0)),"?"),"")</f>
        <v/>
      </c>
    </row>
    <row r="209" spans="1:4" ht="16.5" customHeight="1" x14ac:dyDescent="0.25">
      <c r="A209" s="20"/>
      <c r="B209" s="21"/>
      <c r="C209" s="22"/>
      <c r="D209" s="23" t="str">
        <f>IF(AND(A209&lt;&gt;"",COUNTIF(A16:A515,A209)&gt;1),"⚠️ JÁ PESADO! Peso: "&amp;TEXT(IFERROR(INDEX(B16:B515,MATCH(A209,A16:A515,0)),0),"#,##0.0")&amp;" kg  Lote: "&amp;IFERROR(INDEX(C16:C515,MATCH(A209,A16:A515,0)),"?"),"")</f>
        <v/>
      </c>
    </row>
    <row r="210" spans="1:4" ht="16.5" customHeight="1" x14ac:dyDescent="0.25">
      <c r="A210" s="16"/>
      <c r="B210" s="17"/>
      <c r="C210" s="18"/>
      <c r="D210" s="19" t="str">
        <f>IF(AND(A210&lt;&gt;"",COUNTIF(A16:A515,A210)&gt;1),"⚠️ JÁ PESADO! Peso: "&amp;TEXT(IFERROR(INDEX(B16:B515,MATCH(A210,A16:A515,0)),0),"#,##0.0")&amp;" kg  Lote: "&amp;IFERROR(INDEX(C16:C515,MATCH(A210,A16:A515,0)),"?"),"")</f>
        <v/>
      </c>
    </row>
    <row r="211" spans="1:4" ht="16.5" customHeight="1" x14ac:dyDescent="0.25">
      <c r="A211" s="20"/>
      <c r="B211" s="21"/>
      <c r="C211" s="22"/>
      <c r="D211" s="23" t="str">
        <f>IF(AND(A211&lt;&gt;"",COUNTIF(A16:A515,A211)&gt;1),"⚠️ JÁ PESADO! Peso: "&amp;TEXT(IFERROR(INDEX(B16:B515,MATCH(A211,A16:A515,0)),0),"#,##0.0")&amp;" kg  Lote: "&amp;IFERROR(INDEX(C16:C515,MATCH(A211,A16:A515,0)),"?"),"")</f>
        <v/>
      </c>
    </row>
    <row r="212" spans="1:4" ht="16.5" customHeight="1" x14ac:dyDescent="0.25">
      <c r="A212" s="16"/>
      <c r="B212" s="17"/>
      <c r="C212" s="18"/>
      <c r="D212" s="19" t="str">
        <f>IF(AND(A212&lt;&gt;"",COUNTIF(A16:A515,A212)&gt;1),"⚠️ JÁ PESADO! Peso: "&amp;TEXT(IFERROR(INDEX(B16:B515,MATCH(A212,A16:A515,0)),0),"#,##0.0")&amp;" kg  Lote: "&amp;IFERROR(INDEX(C16:C515,MATCH(A212,A16:A515,0)),"?"),"")</f>
        <v/>
      </c>
    </row>
    <row r="213" spans="1:4" ht="16.5" customHeight="1" x14ac:dyDescent="0.25">
      <c r="A213" s="20"/>
      <c r="B213" s="21"/>
      <c r="C213" s="22"/>
      <c r="D213" s="23" t="str">
        <f>IF(AND(A213&lt;&gt;"",COUNTIF(A16:A515,A213)&gt;1),"⚠️ JÁ PESADO! Peso: "&amp;TEXT(IFERROR(INDEX(B16:B515,MATCH(A213,A16:A515,0)),0),"#,##0.0")&amp;" kg  Lote: "&amp;IFERROR(INDEX(C16:C515,MATCH(A213,A16:A515,0)),"?"),"")</f>
        <v/>
      </c>
    </row>
    <row r="214" spans="1:4" ht="16.5" customHeight="1" x14ac:dyDescent="0.25">
      <c r="A214" s="16"/>
      <c r="B214" s="17"/>
      <c r="C214" s="18"/>
      <c r="D214" s="19" t="str">
        <f>IF(AND(A214&lt;&gt;"",COUNTIF(A16:A515,A214)&gt;1),"⚠️ JÁ PESADO! Peso: "&amp;TEXT(IFERROR(INDEX(B16:B515,MATCH(A214,A16:A515,0)),0),"#,##0.0")&amp;" kg  Lote: "&amp;IFERROR(INDEX(C16:C515,MATCH(A214,A16:A515,0)),"?"),"")</f>
        <v/>
      </c>
    </row>
    <row r="215" spans="1:4" ht="16.5" customHeight="1" x14ac:dyDescent="0.25">
      <c r="A215" s="20"/>
      <c r="B215" s="21"/>
      <c r="C215" s="22"/>
      <c r="D215" s="23" t="str">
        <f>IF(AND(A215&lt;&gt;"",COUNTIF(A16:A515,A215)&gt;1),"⚠️ JÁ PESADO! Peso: "&amp;TEXT(IFERROR(INDEX(B16:B515,MATCH(A215,A16:A515,0)),0),"#,##0.0")&amp;" kg  Lote: "&amp;IFERROR(INDEX(C16:C515,MATCH(A215,A16:A515,0)),"?"),"")</f>
        <v/>
      </c>
    </row>
    <row r="216" spans="1:4" ht="16.5" customHeight="1" x14ac:dyDescent="0.25">
      <c r="A216" s="16"/>
      <c r="B216" s="17"/>
      <c r="C216" s="18"/>
      <c r="D216" s="19" t="str">
        <f>IF(AND(A216&lt;&gt;"",COUNTIF(A16:A515,A216)&gt;1),"⚠️ JÁ PESADO! Peso: "&amp;TEXT(IFERROR(INDEX(B16:B515,MATCH(A216,A16:A515,0)),0),"#,##0.0")&amp;" kg  Lote: "&amp;IFERROR(INDEX(C16:C515,MATCH(A216,A16:A515,0)),"?"),"")</f>
        <v/>
      </c>
    </row>
    <row r="217" spans="1:4" ht="16.5" customHeight="1" x14ac:dyDescent="0.25">
      <c r="A217" s="20"/>
      <c r="B217" s="21"/>
      <c r="C217" s="22"/>
      <c r="D217" s="23" t="str">
        <f>IF(AND(A217&lt;&gt;"",COUNTIF(A16:A515,A217)&gt;1),"⚠️ JÁ PESADO! Peso: "&amp;TEXT(IFERROR(INDEX(B16:B515,MATCH(A217,A16:A515,0)),0),"#,##0.0")&amp;" kg  Lote: "&amp;IFERROR(INDEX(C16:C515,MATCH(A217,A16:A515,0)),"?"),"")</f>
        <v/>
      </c>
    </row>
    <row r="218" spans="1:4" ht="16.5" customHeight="1" x14ac:dyDescent="0.25">
      <c r="A218" s="16"/>
      <c r="B218" s="17"/>
      <c r="C218" s="18"/>
      <c r="D218" s="19" t="str">
        <f>IF(AND(A218&lt;&gt;"",COUNTIF(A16:A515,A218)&gt;1),"⚠️ JÁ PESADO! Peso: "&amp;TEXT(IFERROR(INDEX(B16:B515,MATCH(A218,A16:A515,0)),0),"#,##0.0")&amp;" kg  Lote: "&amp;IFERROR(INDEX(C16:C515,MATCH(A218,A16:A515,0)),"?"),"")</f>
        <v/>
      </c>
    </row>
    <row r="219" spans="1:4" ht="16.5" customHeight="1" x14ac:dyDescent="0.25">
      <c r="A219" s="20"/>
      <c r="B219" s="21"/>
      <c r="C219" s="22"/>
      <c r="D219" s="23" t="str">
        <f>IF(AND(A219&lt;&gt;"",COUNTIF(A16:A515,A219)&gt;1),"⚠️ JÁ PESADO! Peso: "&amp;TEXT(IFERROR(INDEX(B16:B515,MATCH(A219,A16:A515,0)),0),"#,##0.0")&amp;" kg  Lote: "&amp;IFERROR(INDEX(C16:C515,MATCH(A219,A16:A515,0)),"?"),"")</f>
        <v/>
      </c>
    </row>
    <row r="220" spans="1:4" ht="16.5" customHeight="1" x14ac:dyDescent="0.25">
      <c r="A220" s="16"/>
      <c r="B220" s="17"/>
      <c r="C220" s="18"/>
      <c r="D220" s="19" t="str">
        <f>IF(AND(A220&lt;&gt;"",COUNTIF(A16:A515,A220)&gt;1),"⚠️ JÁ PESADO! Peso: "&amp;TEXT(IFERROR(INDEX(B16:B515,MATCH(A220,A16:A515,0)),0),"#,##0.0")&amp;" kg  Lote: "&amp;IFERROR(INDEX(C16:C515,MATCH(A220,A16:A515,0)),"?"),"")</f>
        <v/>
      </c>
    </row>
    <row r="221" spans="1:4" ht="16.5" customHeight="1" x14ac:dyDescent="0.25">
      <c r="A221" s="20"/>
      <c r="B221" s="21"/>
      <c r="C221" s="22"/>
      <c r="D221" s="23" t="str">
        <f>IF(AND(A221&lt;&gt;"",COUNTIF(A16:A515,A221)&gt;1),"⚠️ JÁ PESADO! Peso: "&amp;TEXT(IFERROR(INDEX(B16:B515,MATCH(A221,A16:A515,0)),0),"#,##0.0")&amp;" kg  Lote: "&amp;IFERROR(INDEX(C16:C515,MATCH(A221,A16:A515,0)),"?"),"")</f>
        <v/>
      </c>
    </row>
    <row r="222" spans="1:4" ht="16.5" customHeight="1" x14ac:dyDescent="0.25">
      <c r="A222" s="16"/>
      <c r="B222" s="17"/>
      <c r="C222" s="18"/>
      <c r="D222" s="19" t="str">
        <f>IF(AND(A222&lt;&gt;"",COUNTIF(A16:A515,A222)&gt;1),"⚠️ JÁ PESADO! Peso: "&amp;TEXT(IFERROR(INDEX(B16:B515,MATCH(A222,A16:A515,0)),0),"#,##0.0")&amp;" kg  Lote: "&amp;IFERROR(INDEX(C16:C515,MATCH(A222,A16:A515,0)),"?"),"")</f>
        <v/>
      </c>
    </row>
    <row r="223" spans="1:4" ht="16.5" customHeight="1" x14ac:dyDescent="0.25">
      <c r="A223" s="20"/>
      <c r="B223" s="21"/>
      <c r="C223" s="22"/>
      <c r="D223" s="23" t="str">
        <f>IF(AND(A223&lt;&gt;"",COUNTIF(A16:A515,A223)&gt;1),"⚠️ JÁ PESADO! Peso: "&amp;TEXT(IFERROR(INDEX(B16:B515,MATCH(A223,A16:A515,0)),0),"#,##0.0")&amp;" kg  Lote: "&amp;IFERROR(INDEX(C16:C515,MATCH(A223,A16:A515,0)),"?"),"")</f>
        <v/>
      </c>
    </row>
    <row r="224" spans="1:4" ht="16.5" customHeight="1" x14ac:dyDescent="0.25">
      <c r="A224" s="16"/>
      <c r="B224" s="17"/>
      <c r="C224" s="18"/>
      <c r="D224" s="19" t="str">
        <f>IF(AND(A224&lt;&gt;"",COUNTIF(A16:A515,A224)&gt;1),"⚠️ JÁ PESADO! Peso: "&amp;TEXT(IFERROR(INDEX(B16:B515,MATCH(A224,A16:A515,0)),0),"#,##0.0")&amp;" kg  Lote: "&amp;IFERROR(INDEX(C16:C515,MATCH(A224,A16:A515,0)),"?"),"")</f>
        <v/>
      </c>
    </row>
    <row r="225" spans="1:4" ht="16.5" customHeight="1" x14ac:dyDescent="0.25">
      <c r="A225" s="20"/>
      <c r="B225" s="21"/>
      <c r="C225" s="22"/>
      <c r="D225" s="23" t="str">
        <f>IF(AND(A225&lt;&gt;"",COUNTIF(A16:A515,A225)&gt;1),"⚠️ JÁ PESADO! Peso: "&amp;TEXT(IFERROR(INDEX(B16:B515,MATCH(A225,A16:A515,0)),0),"#,##0.0")&amp;" kg  Lote: "&amp;IFERROR(INDEX(C16:C515,MATCH(A225,A16:A515,0)),"?"),"")</f>
        <v/>
      </c>
    </row>
    <row r="226" spans="1:4" ht="16.5" customHeight="1" x14ac:dyDescent="0.25">
      <c r="A226" s="16"/>
      <c r="B226" s="17"/>
      <c r="C226" s="18"/>
      <c r="D226" s="19" t="str">
        <f>IF(AND(A226&lt;&gt;"",COUNTIF(A16:A515,A226)&gt;1),"⚠️ JÁ PESADO! Peso: "&amp;TEXT(IFERROR(INDEX(B16:B515,MATCH(A226,A16:A515,0)),0),"#,##0.0")&amp;" kg  Lote: "&amp;IFERROR(INDEX(C16:C515,MATCH(A226,A16:A515,0)),"?"),"")</f>
        <v/>
      </c>
    </row>
    <row r="227" spans="1:4" ht="16.5" customHeight="1" x14ac:dyDescent="0.25">
      <c r="A227" s="20"/>
      <c r="B227" s="21"/>
      <c r="C227" s="22"/>
      <c r="D227" s="23" t="str">
        <f>IF(AND(A227&lt;&gt;"",COUNTIF(A16:A515,A227)&gt;1),"⚠️ JÁ PESADO! Peso: "&amp;TEXT(IFERROR(INDEX(B16:B515,MATCH(A227,A16:A515,0)),0),"#,##0.0")&amp;" kg  Lote: "&amp;IFERROR(INDEX(C16:C515,MATCH(A227,A16:A515,0)),"?"),"")</f>
        <v/>
      </c>
    </row>
    <row r="228" spans="1:4" ht="16.5" customHeight="1" x14ac:dyDescent="0.25">
      <c r="A228" s="16"/>
      <c r="B228" s="17"/>
      <c r="C228" s="18"/>
      <c r="D228" s="19" t="str">
        <f>IF(AND(A228&lt;&gt;"",COUNTIF(A16:A515,A228)&gt;1),"⚠️ JÁ PESADO! Peso: "&amp;TEXT(IFERROR(INDEX(B16:B515,MATCH(A228,A16:A515,0)),0),"#,##0.0")&amp;" kg  Lote: "&amp;IFERROR(INDEX(C16:C515,MATCH(A228,A16:A515,0)),"?"),"")</f>
        <v/>
      </c>
    </row>
    <row r="229" spans="1:4" ht="16.5" customHeight="1" x14ac:dyDescent="0.25">
      <c r="A229" s="20"/>
      <c r="B229" s="21"/>
      <c r="C229" s="22"/>
      <c r="D229" s="23" t="str">
        <f>IF(AND(A229&lt;&gt;"",COUNTIF(A16:A515,A229)&gt;1),"⚠️ JÁ PESADO! Peso: "&amp;TEXT(IFERROR(INDEX(B16:B515,MATCH(A229,A16:A515,0)),0),"#,##0.0")&amp;" kg  Lote: "&amp;IFERROR(INDEX(C16:C515,MATCH(A229,A16:A515,0)),"?"),"")</f>
        <v/>
      </c>
    </row>
    <row r="230" spans="1:4" ht="16.5" customHeight="1" x14ac:dyDescent="0.25">
      <c r="A230" s="16"/>
      <c r="B230" s="17"/>
      <c r="C230" s="18"/>
      <c r="D230" s="19" t="str">
        <f>IF(AND(A230&lt;&gt;"",COUNTIF(A16:A515,A230)&gt;1),"⚠️ JÁ PESADO! Peso: "&amp;TEXT(IFERROR(INDEX(B16:B515,MATCH(A230,A16:A515,0)),0),"#,##0.0")&amp;" kg  Lote: "&amp;IFERROR(INDEX(C16:C515,MATCH(A230,A16:A515,0)),"?"),"")</f>
        <v/>
      </c>
    </row>
    <row r="231" spans="1:4" ht="16.5" customHeight="1" x14ac:dyDescent="0.25">
      <c r="A231" s="20"/>
      <c r="B231" s="21"/>
      <c r="C231" s="22"/>
      <c r="D231" s="23" t="str">
        <f>IF(AND(A231&lt;&gt;"",COUNTIF(A16:A515,A231)&gt;1),"⚠️ JÁ PESADO! Peso: "&amp;TEXT(IFERROR(INDEX(B16:B515,MATCH(A231,A16:A515,0)),0),"#,##0.0")&amp;" kg  Lote: "&amp;IFERROR(INDEX(C16:C515,MATCH(A231,A16:A515,0)),"?"),"")</f>
        <v/>
      </c>
    </row>
    <row r="232" spans="1:4" ht="16.5" customHeight="1" x14ac:dyDescent="0.25">
      <c r="A232" s="16"/>
      <c r="B232" s="17"/>
      <c r="C232" s="18"/>
      <c r="D232" s="19" t="str">
        <f>IF(AND(A232&lt;&gt;"",COUNTIF(A16:A515,A232)&gt;1),"⚠️ JÁ PESADO! Peso: "&amp;TEXT(IFERROR(INDEX(B16:B515,MATCH(A232,A16:A515,0)),0),"#,##0.0")&amp;" kg  Lote: "&amp;IFERROR(INDEX(C16:C515,MATCH(A232,A16:A515,0)),"?"),"")</f>
        <v/>
      </c>
    </row>
    <row r="233" spans="1:4" ht="16.5" customHeight="1" x14ac:dyDescent="0.25">
      <c r="A233" s="20"/>
      <c r="B233" s="21"/>
      <c r="C233" s="22"/>
      <c r="D233" s="23" t="str">
        <f>IF(AND(A233&lt;&gt;"",COUNTIF(A16:A515,A233)&gt;1),"⚠️ JÁ PESADO! Peso: "&amp;TEXT(IFERROR(INDEX(B16:B515,MATCH(A233,A16:A515,0)),0),"#,##0.0")&amp;" kg  Lote: "&amp;IFERROR(INDEX(C16:C515,MATCH(A233,A16:A515,0)),"?"),"")</f>
        <v/>
      </c>
    </row>
    <row r="234" spans="1:4" ht="16.5" customHeight="1" x14ac:dyDescent="0.25">
      <c r="A234" s="16"/>
      <c r="B234" s="17"/>
      <c r="C234" s="18"/>
      <c r="D234" s="19" t="str">
        <f>IF(AND(A234&lt;&gt;"",COUNTIF(A16:A515,A234)&gt;1),"⚠️ JÁ PESADO! Peso: "&amp;TEXT(IFERROR(INDEX(B16:B515,MATCH(A234,A16:A515,0)),0),"#,##0.0")&amp;" kg  Lote: "&amp;IFERROR(INDEX(C16:C515,MATCH(A234,A16:A515,0)),"?"),"")</f>
        <v/>
      </c>
    </row>
    <row r="235" spans="1:4" ht="16.5" customHeight="1" x14ac:dyDescent="0.25">
      <c r="A235" s="20"/>
      <c r="B235" s="21"/>
      <c r="C235" s="22"/>
      <c r="D235" s="23" t="str">
        <f>IF(AND(A235&lt;&gt;"",COUNTIF(A16:A515,A235)&gt;1),"⚠️ JÁ PESADO! Peso: "&amp;TEXT(IFERROR(INDEX(B16:B515,MATCH(A235,A16:A515,0)),0),"#,##0.0")&amp;" kg  Lote: "&amp;IFERROR(INDEX(C16:C515,MATCH(A235,A16:A515,0)),"?"),"")</f>
        <v/>
      </c>
    </row>
    <row r="236" spans="1:4" ht="16.5" customHeight="1" x14ac:dyDescent="0.25">
      <c r="A236" s="16"/>
      <c r="B236" s="17"/>
      <c r="C236" s="18"/>
      <c r="D236" s="19" t="str">
        <f>IF(AND(A236&lt;&gt;"",COUNTIF(A16:A515,A236)&gt;1),"⚠️ JÁ PESADO! Peso: "&amp;TEXT(IFERROR(INDEX(B16:B515,MATCH(A236,A16:A515,0)),0),"#,##0.0")&amp;" kg  Lote: "&amp;IFERROR(INDEX(C16:C515,MATCH(A236,A16:A515,0)),"?"),"")</f>
        <v/>
      </c>
    </row>
    <row r="237" spans="1:4" ht="16.5" customHeight="1" x14ac:dyDescent="0.25">
      <c r="A237" s="20"/>
      <c r="B237" s="21"/>
      <c r="C237" s="22"/>
      <c r="D237" s="23" t="str">
        <f>IF(AND(A237&lt;&gt;"",COUNTIF(A16:A515,A237)&gt;1),"⚠️ JÁ PESADO! Peso: "&amp;TEXT(IFERROR(INDEX(B16:B515,MATCH(A237,A16:A515,0)),0),"#,##0.0")&amp;" kg  Lote: "&amp;IFERROR(INDEX(C16:C515,MATCH(A237,A16:A515,0)),"?"),"")</f>
        <v/>
      </c>
    </row>
    <row r="238" spans="1:4" ht="16.5" customHeight="1" x14ac:dyDescent="0.25">
      <c r="A238" s="16"/>
      <c r="B238" s="17"/>
      <c r="C238" s="18"/>
      <c r="D238" s="19" t="str">
        <f>IF(AND(A238&lt;&gt;"",COUNTIF(A16:A515,A238)&gt;1),"⚠️ JÁ PESADO! Peso: "&amp;TEXT(IFERROR(INDEX(B16:B515,MATCH(A238,A16:A515,0)),0),"#,##0.0")&amp;" kg  Lote: "&amp;IFERROR(INDEX(C16:C515,MATCH(A238,A16:A515,0)),"?"),"")</f>
        <v/>
      </c>
    </row>
    <row r="239" spans="1:4" ht="16.5" customHeight="1" x14ac:dyDescent="0.25">
      <c r="A239" s="20"/>
      <c r="B239" s="21"/>
      <c r="C239" s="22"/>
      <c r="D239" s="23" t="str">
        <f>IF(AND(A239&lt;&gt;"",COUNTIF(A16:A515,A239)&gt;1),"⚠️ JÁ PESADO! Peso: "&amp;TEXT(IFERROR(INDEX(B16:B515,MATCH(A239,A16:A515,0)),0),"#,##0.0")&amp;" kg  Lote: "&amp;IFERROR(INDEX(C16:C515,MATCH(A239,A16:A515,0)),"?"),"")</f>
        <v/>
      </c>
    </row>
    <row r="240" spans="1:4" ht="16.5" customHeight="1" x14ac:dyDescent="0.25">
      <c r="A240" s="16"/>
      <c r="B240" s="17"/>
      <c r="C240" s="18"/>
      <c r="D240" s="19" t="str">
        <f>IF(AND(A240&lt;&gt;"",COUNTIF(A16:A515,A240)&gt;1),"⚠️ JÁ PESADO! Peso: "&amp;TEXT(IFERROR(INDEX(B16:B515,MATCH(A240,A16:A515,0)),0),"#,##0.0")&amp;" kg  Lote: "&amp;IFERROR(INDEX(C16:C515,MATCH(A240,A16:A515,0)),"?"),"")</f>
        <v/>
      </c>
    </row>
    <row r="241" spans="1:4" ht="16.5" customHeight="1" x14ac:dyDescent="0.25">
      <c r="A241" s="20"/>
      <c r="B241" s="21"/>
      <c r="C241" s="22"/>
      <c r="D241" s="23" t="str">
        <f>IF(AND(A241&lt;&gt;"",COUNTIF(A16:A515,A241)&gt;1),"⚠️ JÁ PESADO! Peso: "&amp;TEXT(IFERROR(INDEX(B16:B515,MATCH(A241,A16:A515,0)),0),"#,##0.0")&amp;" kg  Lote: "&amp;IFERROR(INDEX(C16:C515,MATCH(A241,A16:A515,0)),"?"),"")</f>
        <v/>
      </c>
    </row>
    <row r="242" spans="1:4" ht="16.5" customHeight="1" x14ac:dyDescent="0.25">
      <c r="A242" s="16"/>
      <c r="B242" s="17"/>
      <c r="C242" s="18"/>
      <c r="D242" s="19" t="str">
        <f>IF(AND(A242&lt;&gt;"",COUNTIF(A16:A515,A242)&gt;1),"⚠️ JÁ PESADO! Peso: "&amp;TEXT(IFERROR(INDEX(B16:B515,MATCH(A242,A16:A515,0)),0),"#,##0.0")&amp;" kg  Lote: "&amp;IFERROR(INDEX(C16:C515,MATCH(A242,A16:A515,0)),"?"),"")</f>
        <v/>
      </c>
    </row>
    <row r="243" spans="1:4" ht="16.5" customHeight="1" x14ac:dyDescent="0.25">
      <c r="A243" s="20"/>
      <c r="B243" s="21"/>
      <c r="C243" s="22"/>
      <c r="D243" s="23" t="str">
        <f>IF(AND(A243&lt;&gt;"",COUNTIF(A16:A515,A243)&gt;1),"⚠️ JÁ PESADO! Peso: "&amp;TEXT(IFERROR(INDEX(B16:B515,MATCH(A243,A16:A515,0)),0),"#,##0.0")&amp;" kg  Lote: "&amp;IFERROR(INDEX(C16:C515,MATCH(A243,A16:A515,0)),"?"),"")</f>
        <v/>
      </c>
    </row>
    <row r="244" spans="1:4" ht="16.5" customHeight="1" x14ac:dyDescent="0.25">
      <c r="A244" s="16"/>
      <c r="B244" s="17"/>
      <c r="C244" s="18"/>
      <c r="D244" s="19" t="str">
        <f>IF(AND(A244&lt;&gt;"",COUNTIF(A16:A515,A244)&gt;1),"⚠️ JÁ PESADO! Peso: "&amp;TEXT(IFERROR(INDEX(B16:B515,MATCH(A244,A16:A515,0)),0),"#,##0.0")&amp;" kg  Lote: "&amp;IFERROR(INDEX(C16:C515,MATCH(A244,A16:A515,0)),"?"),"")</f>
        <v/>
      </c>
    </row>
    <row r="245" spans="1:4" ht="16.5" customHeight="1" x14ac:dyDescent="0.25">
      <c r="A245" s="20"/>
      <c r="B245" s="21"/>
      <c r="C245" s="22"/>
      <c r="D245" s="23" t="str">
        <f>IF(AND(A245&lt;&gt;"",COUNTIF(A16:A515,A245)&gt;1),"⚠️ JÁ PESADO! Peso: "&amp;TEXT(IFERROR(INDEX(B16:B515,MATCH(A245,A16:A515,0)),0),"#,##0.0")&amp;" kg  Lote: "&amp;IFERROR(INDEX(C16:C515,MATCH(A245,A16:A515,0)),"?"),"")</f>
        <v/>
      </c>
    </row>
    <row r="246" spans="1:4" ht="16.5" customHeight="1" x14ac:dyDescent="0.25">
      <c r="A246" s="16"/>
      <c r="B246" s="17"/>
      <c r="C246" s="18"/>
      <c r="D246" s="19" t="str">
        <f>IF(AND(A246&lt;&gt;"",COUNTIF(A16:A515,A246)&gt;1),"⚠️ JÁ PESADO! Peso: "&amp;TEXT(IFERROR(INDEX(B16:B515,MATCH(A246,A16:A515,0)),0),"#,##0.0")&amp;" kg  Lote: "&amp;IFERROR(INDEX(C16:C515,MATCH(A246,A16:A515,0)),"?"),"")</f>
        <v/>
      </c>
    </row>
    <row r="247" spans="1:4" ht="16.5" customHeight="1" x14ac:dyDescent="0.25">
      <c r="A247" s="20"/>
      <c r="B247" s="21"/>
      <c r="C247" s="22"/>
      <c r="D247" s="23" t="str">
        <f>IF(AND(A247&lt;&gt;"",COUNTIF(A16:A515,A247)&gt;1),"⚠️ JÁ PESADO! Peso: "&amp;TEXT(IFERROR(INDEX(B16:B515,MATCH(A247,A16:A515,0)),0),"#,##0.0")&amp;" kg  Lote: "&amp;IFERROR(INDEX(C16:C515,MATCH(A247,A16:A515,0)),"?"),"")</f>
        <v/>
      </c>
    </row>
    <row r="248" spans="1:4" ht="16.5" customHeight="1" x14ac:dyDescent="0.25">
      <c r="A248" s="16"/>
      <c r="B248" s="17"/>
      <c r="C248" s="18"/>
      <c r="D248" s="19" t="str">
        <f>IF(AND(A248&lt;&gt;"",COUNTIF(A16:A515,A248)&gt;1),"⚠️ JÁ PESADO! Peso: "&amp;TEXT(IFERROR(INDEX(B16:B515,MATCH(A248,A16:A515,0)),0),"#,##0.0")&amp;" kg  Lote: "&amp;IFERROR(INDEX(C16:C515,MATCH(A248,A16:A515,0)),"?"),"")</f>
        <v/>
      </c>
    </row>
    <row r="249" spans="1:4" ht="16.5" customHeight="1" x14ac:dyDescent="0.25">
      <c r="A249" s="20"/>
      <c r="B249" s="21"/>
      <c r="C249" s="22"/>
      <c r="D249" s="23" t="str">
        <f>IF(AND(A249&lt;&gt;"",COUNTIF(A16:A515,A249)&gt;1),"⚠️ JÁ PESADO! Peso: "&amp;TEXT(IFERROR(INDEX(B16:B515,MATCH(A249,A16:A515,0)),0),"#,##0.0")&amp;" kg  Lote: "&amp;IFERROR(INDEX(C16:C515,MATCH(A249,A16:A515,0)),"?"),"")</f>
        <v/>
      </c>
    </row>
    <row r="250" spans="1:4" ht="16.5" customHeight="1" x14ac:dyDescent="0.25">
      <c r="A250" s="16"/>
      <c r="B250" s="17"/>
      <c r="C250" s="18"/>
      <c r="D250" s="19" t="str">
        <f>IF(AND(A250&lt;&gt;"",COUNTIF(A16:A515,A250)&gt;1),"⚠️ JÁ PESADO! Peso: "&amp;TEXT(IFERROR(INDEX(B16:B515,MATCH(A250,A16:A515,0)),0),"#,##0.0")&amp;" kg  Lote: "&amp;IFERROR(INDEX(C16:C515,MATCH(A250,A16:A515,0)),"?"),"")</f>
        <v/>
      </c>
    </row>
    <row r="251" spans="1:4" ht="16.5" customHeight="1" x14ac:dyDescent="0.25">
      <c r="A251" s="20"/>
      <c r="B251" s="21"/>
      <c r="C251" s="22"/>
      <c r="D251" s="23" t="str">
        <f>IF(AND(A251&lt;&gt;"",COUNTIF(A16:A515,A251)&gt;1),"⚠️ JÁ PESADO! Peso: "&amp;TEXT(IFERROR(INDEX(B16:B515,MATCH(A251,A16:A515,0)),0),"#,##0.0")&amp;" kg  Lote: "&amp;IFERROR(INDEX(C16:C515,MATCH(A251,A16:A515,0)),"?"),"")</f>
        <v/>
      </c>
    </row>
    <row r="252" spans="1:4" ht="16.5" customHeight="1" x14ac:dyDescent="0.25">
      <c r="A252" s="16"/>
      <c r="B252" s="17"/>
      <c r="C252" s="18"/>
      <c r="D252" s="19" t="str">
        <f>IF(AND(A252&lt;&gt;"",COUNTIF(A16:A515,A252)&gt;1),"⚠️ JÁ PESADO! Peso: "&amp;TEXT(IFERROR(INDEX(B16:B515,MATCH(A252,A16:A515,0)),0),"#,##0.0")&amp;" kg  Lote: "&amp;IFERROR(INDEX(C16:C515,MATCH(A252,A16:A515,0)),"?"),"")</f>
        <v/>
      </c>
    </row>
    <row r="253" spans="1:4" ht="16.5" customHeight="1" x14ac:dyDescent="0.25">
      <c r="A253" s="20"/>
      <c r="B253" s="21"/>
      <c r="C253" s="22"/>
      <c r="D253" s="23" t="str">
        <f>IF(AND(A253&lt;&gt;"",COUNTIF(A16:A515,A253)&gt;1),"⚠️ JÁ PESADO! Peso: "&amp;TEXT(IFERROR(INDEX(B16:B515,MATCH(A253,A16:A515,0)),0),"#,##0.0")&amp;" kg  Lote: "&amp;IFERROR(INDEX(C16:C515,MATCH(A253,A16:A515,0)),"?"),"")</f>
        <v/>
      </c>
    </row>
    <row r="254" spans="1:4" ht="16.5" customHeight="1" x14ac:dyDescent="0.25">
      <c r="A254" s="16"/>
      <c r="B254" s="17"/>
      <c r="C254" s="18"/>
      <c r="D254" s="19" t="str">
        <f>IF(AND(A254&lt;&gt;"",COUNTIF(A16:A515,A254)&gt;1),"⚠️ JÁ PESADO! Peso: "&amp;TEXT(IFERROR(INDEX(B16:B515,MATCH(A254,A16:A515,0)),0),"#,##0.0")&amp;" kg  Lote: "&amp;IFERROR(INDEX(C16:C515,MATCH(A254,A16:A515,0)),"?"),"")</f>
        <v/>
      </c>
    </row>
    <row r="255" spans="1:4" ht="16.5" customHeight="1" x14ac:dyDescent="0.25">
      <c r="A255" s="20"/>
      <c r="B255" s="21"/>
      <c r="C255" s="22"/>
      <c r="D255" s="23" t="str">
        <f>IF(AND(A255&lt;&gt;"",COUNTIF(A16:A515,A255)&gt;1),"⚠️ JÁ PESADO! Peso: "&amp;TEXT(IFERROR(INDEX(B16:B515,MATCH(A255,A16:A515,0)),0),"#,##0.0")&amp;" kg  Lote: "&amp;IFERROR(INDEX(C16:C515,MATCH(A255,A16:A515,0)),"?"),"")</f>
        <v/>
      </c>
    </row>
    <row r="256" spans="1:4" ht="16.5" customHeight="1" x14ac:dyDescent="0.25">
      <c r="A256" s="16"/>
      <c r="B256" s="17"/>
      <c r="C256" s="18"/>
      <c r="D256" s="19" t="str">
        <f>IF(AND(A256&lt;&gt;"",COUNTIF(A16:A515,A256)&gt;1),"⚠️ JÁ PESADO! Peso: "&amp;TEXT(IFERROR(INDEX(B16:B515,MATCH(A256,A16:A515,0)),0),"#,##0.0")&amp;" kg  Lote: "&amp;IFERROR(INDEX(C16:C515,MATCH(A256,A16:A515,0)),"?"),"")</f>
        <v/>
      </c>
    </row>
    <row r="257" spans="1:4" ht="16.5" customHeight="1" x14ac:dyDescent="0.25">
      <c r="A257" s="20"/>
      <c r="B257" s="21"/>
      <c r="C257" s="22"/>
      <c r="D257" s="23" t="str">
        <f>IF(AND(A257&lt;&gt;"",COUNTIF(A16:A515,A257)&gt;1),"⚠️ JÁ PESADO! Peso: "&amp;TEXT(IFERROR(INDEX(B16:B515,MATCH(A257,A16:A515,0)),0),"#,##0.0")&amp;" kg  Lote: "&amp;IFERROR(INDEX(C16:C515,MATCH(A257,A16:A515,0)),"?"),"")</f>
        <v/>
      </c>
    </row>
    <row r="258" spans="1:4" ht="16.5" customHeight="1" x14ac:dyDescent="0.25">
      <c r="A258" s="16"/>
      <c r="B258" s="17"/>
      <c r="C258" s="18"/>
      <c r="D258" s="19" t="str">
        <f>IF(AND(A258&lt;&gt;"",COUNTIF(A16:A515,A258)&gt;1),"⚠️ JÁ PESADO! Peso: "&amp;TEXT(IFERROR(INDEX(B16:B515,MATCH(A258,A16:A515,0)),0),"#,##0.0")&amp;" kg  Lote: "&amp;IFERROR(INDEX(C16:C515,MATCH(A258,A16:A515,0)),"?"),"")</f>
        <v/>
      </c>
    </row>
    <row r="259" spans="1:4" ht="16.5" customHeight="1" x14ac:dyDescent="0.25">
      <c r="A259" s="20"/>
      <c r="B259" s="21"/>
      <c r="C259" s="22"/>
      <c r="D259" s="23" t="str">
        <f>IF(AND(A259&lt;&gt;"",COUNTIF(A16:A515,A259)&gt;1),"⚠️ JÁ PESADO! Peso: "&amp;TEXT(IFERROR(INDEX(B16:B515,MATCH(A259,A16:A515,0)),0),"#,##0.0")&amp;" kg  Lote: "&amp;IFERROR(INDEX(C16:C515,MATCH(A259,A16:A515,0)),"?"),"")</f>
        <v/>
      </c>
    </row>
    <row r="260" spans="1:4" ht="16.5" customHeight="1" x14ac:dyDescent="0.25">
      <c r="A260" s="16"/>
      <c r="B260" s="17"/>
      <c r="C260" s="18"/>
      <c r="D260" s="19" t="str">
        <f>IF(AND(A260&lt;&gt;"",COUNTIF(A16:A515,A260)&gt;1),"⚠️ JÁ PESADO! Peso: "&amp;TEXT(IFERROR(INDEX(B16:B515,MATCH(A260,A16:A515,0)),0),"#,##0.0")&amp;" kg  Lote: "&amp;IFERROR(INDEX(C16:C515,MATCH(A260,A16:A515,0)),"?"),"")</f>
        <v/>
      </c>
    </row>
    <row r="261" spans="1:4" ht="16.5" customHeight="1" x14ac:dyDescent="0.25">
      <c r="A261" s="20"/>
      <c r="B261" s="21"/>
      <c r="C261" s="22"/>
      <c r="D261" s="23" t="str">
        <f>IF(AND(A261&lt;&gt;"",COUNTIF(A16:A515,A261)&gt;1),"⚠️ JÁ PESADO! Peso: "&amp;TEXT(IFERROR(INDEX(B16:B515,MATCH(A261,A16:A515,0)),0),"#,##0.0")&amp;" kg  Lote: "&amp;IFERROR(INDEX(C16:C515,MATCH(A261,A16:A515,0)),"?"),"")</f>
        <v/>
      </c>
    </row>
    <row r="262" spans="1:4" ht="16.5" customHeight="1" x14ac:dyDescent="0.25">
      <c r="A262" s="16"/>
      <c r="B262" s="17"/>
      <c r="C262" s="18"/>
      <c r="D262" s="19" t="str">
        <f>IF(AND(A262&lt;&gt;"",COUNTIF(A16:A515,A262)&gt;1),"⚠️ JÁ PESADO! Peso: "&amp;TEXT(IFERROR(INDEX(B16:B515,MATCH(A262,A16:A515,0)),0),"#,##0.0")&amp;" kg  Lote: "&amp;IFERROR(INDEX(C16:C515,MATCH(A262,A16:A515,0)),"?"),"")</f>
        <v/>
      </c>
    </row>
    <row r="263" spans="1:4" ht="16.5" customHeight="1" x14ac:dyDescent="0.25">
      <c r="A263" s="20"/>
      <c r="B263" s="21"/>
      <c r="C263" s="22"/>
      <c r="D263" s="23" t="str">
        <f>IF(AND(A263&lt;&gt;"",COUNTIF(A16:A515,A263)&gt;1),"⚠️ JÁ PESADO! Peso: "&amp;TEXT(IFERROR(INDEX(B16:B515,MATCH(A263,A16:A515,0)),0),"#,##0.0")&amp;" kg  Lote: "&amp;IFERROR(INDEX(C16:C515,MATCH(A263,A16:A515,0)),"?"),"")</f>
        <v/>
      </c>
    </row>
    <row r="264" spans="1:4" ht="16.5" customHeight="1" x14ac:dyDescent="0.25">
      <c r="A264" s="16"/>
      <c r="B264" s="17"/>
      <c r="C264" s="18"/>
      <c r="D264" s="19" t="str">
        <f>IF(AND(A264&lt;&gt;"",COUNTIF(A16:A515,A264)&gt;1),"⚠️ JÁ PESADO! Peso: "&amp;TEXT(IFERROR(INDEX(B16:B515,MATCH(A264,A16:A515,0)),0),"#,##0.0")&amp;" kg  Lote: "&amp;IFERROR(INDEX(C16:C515,MATCH(A264,A16:A515,0)),"?"),"")</f>
        <v/>
      </c>
    </row>
    <row r="265" spans="1:4" ht="16.5" customHeight="1" x14ac:dyDescent="0.25">
      <c r="A265" s="20"/>
      <c r="B265" s="21"/>
      <c r="C265" s="22"/>
      <c r="D265" s="23" t="str">
        <f>IF(AND(A265&lt;&gt;"",COUNTIF(A16:A515,A265)&gt;1),"⚠️ JÁ PESADO! Peso: "&amp;TEXT(IFERROR(INDEX(B16:B515,MATCH(A265,A16:A515,0)),0),"#,##0.0")&amp;" kg  Lote: "&amp;IFERROR(INDEX(C16:C515,MATCH(A265,A16:A515,0)),"?"),"")</f>
        <v/>
      </c>
    </row>
    <row r="266" spans="1:4" ht="16.5" customHeight="1" x14ac:dyDescent="0.25">
      <c r="A266" s="16"/>
      <c r="B266" s="17"/>
      <c r="C266" s="18"/>
      <c r="D266" s="19" t="str">
        <f>IF(AND(A266&lt;&gt;"",COUNTIF(A16:A515,A266)&gt;1),"⚠️ JÁ PESADO! Peso: "&amp;TEXT(IFERROR(INDEX(B16:B515,MATCH(A266,A16:A515,0)),0),"#,##0.0")&amp;" kg  Lote: "&amp;IFERROR(INDEX(C16:C515,MATCH(A266,A16:A515,0)),"?"),"")</f>
        <v/>
      </c>
    </row>
    <row r="267" spans="1:4" ht="16.5" customHeight="1" x14ac:dyDescent="0.25">
      <c r="A267" s="20"/>
      <c r="B267" s="21"/>
      <c r="C267" s="22"/>
      <c r="D267" s="23" t="str">
        <f>IF(AND(A267&lt;&gt;"",COUNTIF(A16:A515,A267)&gt;1),"⚠️ JÁ PESADO! Peso: "&amp;TEXT(IFERROR(INDEX(B16:B515,MATCH(A267,A16:A515,0)),0),"#,##0.0")&amp;" kg  Lote: "&amp;IFERROR(INDEX(C16:C515,MATCH(A267,A16:A515,0)),"?"),"")</f>
        <v/>
      </c>
    </row>
    <row r="268" spans="1:4" ht="16.5" customHeight="1" x14ac:dyDescent="0.25">
      <c r="A268" s="16"/>
      <c r="B268" s="17"/>
      <c r="C268" s="18"/>
      <c r="D268" s="19" t="str">
        <f>IF(AND(A268&lt;&gt;"",COUNTIF(A16:A515,A268)&gt;1),"⚠️ JÁ PESADO! Peso: "&amp;TEXT(IFERROR(INDEX(B16:B515,MATCH(A268,A16:A515,0)),0),"#,##0.0")&amp;" kg  Lote: "&amp;IFERROR(INDEX(C16:C515,MATCH(A268,A16:A515,0)),"?"),"")</f>
        <v/>
      </c>
    </row>
    <row r="269" spans="1:4" ht="16.5" customHeight="1" x14ac:dyDescent="0.25">
      <c r="A269" s="20"/>
      <c r="B269" s="21"/>
      <c r="C269" s="22"/>
      <c r="D269" s="23" t="str">
        <f>IF(AND(A269&lt;&gt;"",COUNTIF(A16:A515,A269)&gt;1),"⚠️ JÁ PESADO! Peso: "&amp;TEXT(IFERROR(INDEX(B16:B515,MATCH(A269,A16:A515,0)),0),"#,##0.0")&amp;" kg  Lote: "&amp;IFERROR(INDEX(C16:C515,MATCH(A269,A16:A515,0)),"?"),"")</f>
        <v/>
      </c>
    </row>
    <row r="270" spans="1:4" ht="16.5" customHeight="1" x14ac:dyDescent="0.25">
      <c r="A270" s="16"/>
      <c r="B270" s="17"/>
      <c r="C270" s="18"/>
      <c r="D270" s="19" t="str">
        <f>IF(AND(A270&lt;&gt;"",COUNTIF(A16:A515,A270)&gt;1),"⚠️ JÁ PESADO! Peso: "&amp;TEXT(IFERROR(INDEX(B16:B515,MATCH(A270,A16:A515,0)),0),"#,##0.0")&amp;" kg  Lote: "&amp;IFERROR(INDEX(C16:C515,MATCH(A270,A16:A515,0)),"?"),"")</f>
        <v/>
      </c>
    </row>
    <row r="271" spans="1:4" ht="16.5" customHeight="1" x14ac:dyDescent="0.25">
      <c r="A271" s="20"/>
      <c r="B271" s="21"/>
      <c r="C271" s="22"/>
      <c r="D271" s="23" t="str">
        <f>IF(AND(A271&lt;&gt;"",COUNTIF(A16:A515,A271)&gt;1),"⚠️ JÁ PESADO! Peso: "&amp;TEXT(IFERROR(INDEX(B16:B515,MATCH(A271,A16:A515,0)),0),"#,##0.0")&amp;" kg  Lote: "&amp;IFERROR(INDEX(C16:C515,MATCH(A271,A16:A515,0)),"?"),"")</f>
        <v/>
      </c>
    </row>
    <row r="272" spans="1:4" ht="16.5" customHeight="1" x14ac:dyDescent="0.25">
      <c r="A272" s="16"/>
      <c r="B272" s="17"/>
      <c r="C272" s="18"/>
      <c r="D272" s="19" t="str">
        <f>IF(AND(A272&lt;&gt;"",COUNTIF(A16:A515,A272)&gt;1),"⚠️ JÁ PESADO! Peso: "&amp;TEXT(IFERROR(INDEX(B16:B515,MATCH(A272,A16:A515,0)),0),"#,##0.0")&amp;" kg  Lote: "&amp;IFERROR(INDEX(C16:C515,MATCH(A272,A16:A515,0)),"?"),"")</f>
        <v/>
      </c>
    </row>
    <row r="273" spans="1:4" ht="16.5" customHeight="1" x14ac:dyDescent="0.25">
      <c r="A273" s="20"/>
      <c r="B273" s="21"/>
      <c r="C273" s="22"/>
      <c r="D273" s="23" t="str">
        <f>IF(AND(A273&lt;&gt;"",COUNTIF(A16:A515,A273)&gt;1),"⚠️ JÁ PESADO! Peso: "&amp;TEXT(IFERROR(INDEX(B16:B515,MATCH(A273,A16:A515,0)),0),"#,##0.0")&amp;" kg  Lote: "&amp;IFERROR(INDEX(C16:C515,MATCH(A273,A16:A515,0)),"?"),"")</f>
        <v/>
      </c>
    </row>
    <row r="274" spans="1:4" ht="16.5" customHeight="1" x14ac:dyDescent="0.25">
      <c r="A274" s="16"/>
      <c r="B274" s="17"/>
      <c r="C274" s="18"/>
      <c r="D274" s="19" t="str">
        <f>IF(AND(A274&lt;&gt;"",COUNTIF(A16:A515,A274)&gt;1),"⚠️ JÁ PESADO! Peso: "&amp;TEXT(IFERROR(INDEX(B16:B515,MATCH(A274,A16:A515,0)),0),"#,##0.0")&amp;" kg  Lote: "&amp;IFERROR(INDEX(C16:C515,MATCH(A274,A16:A515,0)),"?"),"")</f>
        <v/>
      </c>
    </row>
    <row r="275" spans="1:4" ht="16.5" customHeight="1" x14ac:dyDescent="0.25">
      <c r="A275" s="20"/>
      <c r="B275" s="21"/>
      <c r="C275" s="22"/>
      <c r="D275" s="23" t="str">
        <f>IF(AND(A275&lt;&gt;"",COUNTIF(A16:A515,A275)&gt;1),"⚠️ JÁ PESADO! Peso: "&amp;TEXT(IFERROR(INDEX(B16:B515,MATCH(A275,A16:A515,0)),0),"#,##0.0")&amp;" kg  Lote: "&amp;IFERROR(INDEX(C16:C515,MATCH(A275,A16:A515,0)),"?"),"")</f>
        <v/>
      </c>
    </row>
    <row r="276" spans="1:4" ht="16.5" customHeight="1" x14ac:dyDescent="0.25">
      <c r="A276" s="16"/>
      <c r="B276" s="17"/>
      <c r="C276" s="18"/>
      <c r="D276" s="19" t="str">
        <f>IF(AND(A276&lt;&gt;"",COUNTIF(A16:A515,A276)&gt;1),"⚠️ JÁ PESADO! Peso: "&amp;TEXT(IFERROR(INDEX(B16:B515,MATCH(A276,A16:A515,0)),0),"#,##0.0")&amp;" kg  Lote: "&amp;IFERROR(INDEX(C16:C515,MATCH(A276,A16:A515,0)),"?"),"")</f>
        <v/>
      </c>
    </row>
    <row r="277" spans="1:4" ht="16.5" customHeight="1" x14ac:dyDescent="0.25">
      <c r="A277" s="20"/>
      <c r="B277" s="21"/>
      <c r="C277" s="22"/>
      <c r="D277" s="23" t="str">
        <f>IF(AND(A277&lt;&gt;"",COUNTIF(A16:A515,A277)&gt;1),"⚠️ JÁ PESADO! Peso: "&amp;TEXT(IFERROR(INDEX(B16:B515,MATCH(A277,A16:A515,0)),0),"#,##0.0")&amp;" kg  Lote: "&amp;IFERROR(INDEX(C16:C515,MATCH(A277,A16:A515,0)),"?"),"")</f>
        <v/>
      </c>
    </row>
    <row r="278" spans="1:4" ht="16.5" customHeight="1" x14ac:dyDescent="0.25">
      <c r="A278" s="16"/>
      <c r="B278" s="17"/>
      <c r="C278" s="18"/>
      <c r="D278" s="19" t="str">
        <f>IF(AND(A278&lt;&gt;"",COUNTIF(A16:A515,A278)&gt;1),"⚠️ JÁ PESADO! Peso: "&amp;TEXT(IFERROR(INDEX(B16:B515,MATCH(A278,A16:A515,0)),0),"#,##0.0")&amp;" kg  Lote: "&amp;IFERROR(INDEX(C16:C515,MATCH(A278,A16:A515,0)),"?"),"")</f>
        <v/>
      </c>
    </row>
    <row r="279" spans="1:4" ht="16.5" customHeight="1" x14ac:dyDescent="0.25">
      <c r="A279" s="20"/>
      <c r="B279" s="21"/>
      <c r="C279" s="22"/>
      <c r="D279" s="23" t="str">
        <f>IF(AND(A279&lt;&gt;"",COUNTIF(A16:A515,A279)&gt;1),"⚠️ JÁ PESADO! Peso: "&amp;TEXT(IFERROR(INDEX(B16:B515,MATCH(A279,A16:A515,0)),0),"#,##0.0")&amp;" kg  Lote: "&amp;IFERROR(INDEX(C16:C515,MATCH(A279,A16:A515,0)),"?"),"")</f>
        <v/>
      </c>
    </row>
    <row r="280" spans="1:4" ht="16.5" customHeight="1" x14ac:dyDescent="0.25">
      <c r="A280" s="16"/>
      <c r="B280" s="17"/>
      <c r="C280" s="18"/>
      <c r="D280" s="19" t="str">
        <f>IF(AND(A280&lt;&gt;"",COUNTIF(A16:A515,A280)&gt;1),"⚠️ JÁ PESADO! Peso: "&amp;TEXT(IFERROR(INDEX(B16:B515,MATCH(A280,A16:A515,0)),0),"#,##0.0")&amp;" kg  Lote: "&amp;IFERROR(INDEX(C16:C515,MATCH(A280,A16:A515,0)),"?"),"")</f>
        <v/>
      </c>
    </row>
    <row r="281" spans="1:4" ht="16.5" customHeight="1" x14ac:dyDescent="0.25">
      <c r="A281" s="20"/>
      <c r="B281" s="21"/>
      <c r="C281" s="22"/>
      <c r="D281" s="23" t="str">
        <f>IF(AND(A281&lt;&gt;"",COUNTIF(A16:A515,A281)&gt;1),"⚠️ JÁ PESADO! Peso: "&amp;TEXT(IFERROR(INDEX(B16:B515,MATCH(A281,A16:A515,0)),0),"#,##0.0")&amp;" kg  Lote: "&amp;IFERROR(INDEX(C16:C515,MATCH(A281,A16:A515,0)),"?"),"")</f>
        <v/>
      </c>
    </row>
    <row r="282" spans="1:4" ht="16.5" customHeight="1" x14ac:dyDescent="0.25">
      <c r="A282" s="16"/>
      <c r="B282" s="17"/>
      <c r="C282" s="18"/>
      <c r="D282" s="19" t="str">
        <f>IF(AND(A282&lt;&gt;"",COUNTIF(A16:A515,A282)&gt;1),"⚠️ JÁ PESADO! Peso: "&amp;TEXT(IFERROR(INDEX(B16:B515,MATCH(A282,A16:A515,0)),0),"#,##0.0")&amp;" kg  Lote: "&amp;IFERROR(INDEX(C16:C515,MATCH(A282,A16:A515,0)),"?"),"")</f>
        <v/>
      </c>
    </row>
    <row r="283" spans="1:4" ht="16.5" customHeight="1" x14ac:dyDescent="0.25">
      <c r="A283" s="20"/>
      <c r="B283" s="21"/>
      <c r="C283" s="22"/>
      <c r="D283" s="23" t="str">
        <f>IF(AND(A283&lt;&gt;"",COUNTIF(A16:A515,A283)&gt;1),"⚠️ JÁ PESADO! Peso: "&amp;TEXT(IFERROR(INDEX(B16:B515,MATCH(A283,A16:A515,0)),0),"#,##0.0")&amp;" kg  Lote: "&amp;IFERROR(INDEX(C16:C515,MATCH(A283,A16:A515,0)),"?"),"")</f>
        <v/>
      </c>
    </row>
    <row r="284" spans="1:4" ht="16.5" customHeight="1" x14ac:dyDescent="0.25">
      <c r="A284" s="16"/>
      <c r="B284" s="17"/>
      <c r="C284" s="18"/>
      <c r="D284" s="19" t="str">
        <f>IF(AND(A284&lt;&gt;"",COUNTIF(A16:A515,A284)&gt;1),"⚠️ JÁ PESADO! Peso: "&amp;TEXT(IFERROR(INDEX(B16:B515,MATCH(A284,A16:A515,0)),0),"#,##0.0")&amp;" kg  Lote: "&amp;IFERROR(INDEX(C16:C515,MATCH(A284,A16:A515,0)),"?"),"")</f>
        <v/>
      </c>
    </row>
    <row r="285" spans="1:4" ht="16.5" customHeight="1" x14ac:dyDescent="0.25">
      <c r="A285" s="20"/>
      <c r="B285" s="21"/>
      <c r="C285" s="22"/>
      <c r="D285" s="23" t="str">
        <f>IF(AND(A285&lt;&gt;"",COUNTIF(A16:A515,A285)&gt;1),"⚠️ JÁ PESADO! Peso: "&amp;TEXT(IFERROR(INDEX(B16:B515,MATCH(A285,A16:A515,0)),0),"#,##0.0")&amp;" kg  Lote: "&amp;IFERROR(INDEX(C16:C515,MATCH(A285,A16:A515,0)),"?"),"")</f>
        <v/>
      </c>
    </row>
    <row r="286" spans="1:4" ht="16.5" customHeight="1" x14ac:dyDescent="0.25">
      <c r="A286" s="16"/>
      <c r="B286" s="17"/>
      <c r="C286" s="18"/>
      <c r="D286" s="19" t="str">
        <f>IF(AND(A286&lt;&gt;"",COUNTIF(A16:A515,A286)&gt;1),"⚠️ JÁ PESADO! Peso: "&amp;TEXT(IFERROR(INDEX(B16:B515,MATCH(A286,A16:A515,0)),0),"#,##0.0")&amp;" kg  Lote: "&amp;IFERROR(INDEX(C16:C515,MATCH(A286,A16:A515,0)),"?"),"")</f>
        <v/>
      </c>
    </row>
    <row r="287" spans="1:4" ht="16.5" customHeight="1" x14ac:dyDescent="0.25">
      <c r="A287" s="20"/>
      <c r="B287" s="21"/>
      <c r="C287" s="22"/>
      <c r="D287" s="23" t="str">
        <f>IF(AND(A287&lt;&gt;"",COUNTIF(A16:A515,A287)&gt;1),"⚠️ JÁ PESADO! Peso: "&amp;TEXT(IFERROR(INDEX(B16:B515,MATCH(A287,A16:A515,0)),0),"#,##0.0")&amp;" kg  Lote: "&amp;IFERROR(INDEX(C16:C515,MATCH(A287,A16:A515,0)),"?"),"")</f>
        <v/>
      </c>
    </row>
    <row r="288" spans="1:4" ht="16.5" customHeight="1" x14ac:dyDescent="0.25">
      <c r="A288" s="16"/>
      <c r="B288" s="17"/>
      <c r="C288" s="18"/>
      <c r="D288" s="19" t="str">
        <f>IF(AND(A288&lt;&gt;"",COUNTIF(A16:A515,A288)&gt;1),"⚠️ JÁ PESADO! Peso: "&amp;TEXT(IFERROR(INDEX(B16:B515,MATCH(A288,A16:A515,0)),0),"#,##0.0")&amp;" kg  Lote: "&amp;IFERROR(INDEX(C16:C515,MATCH(A288,A16:A515,0)),"?"),"")</f>
        <v/>
      </c>
    </row>
    <row r="289" spans="1:4" ht="16.5" customHeight="1" x14ac:dyDescent="0.25">
      <c r="A289" s="20"/>
      <c r="B289" s="21"/>
      <c r="C289" s="22"/>
      <c r="D289" s="23" t="str">
        <f>IF(AND(A289&lt;&gt;"",COUNTIF(A16:A515,A289)&gt;1),"⚠️ JÁ PESADO! Peso: "&amp;TEXT(IFERROR(INDEX(B16:B515,MATCH(A289,A16:A515,0)),0),"#,##0.0")&amp;" kg  Lote: "&amp;IFERROR(INDEX(C16:C515,MATCH(A289,A16:A515,0)),"?"),"")</f>
        <v/>
      </c>
    </row>
    <row r="290" spans="1:4" ht="16.5" customHeight="1" x14ac:dyDescent="0.25">
      <c r="A290" s="16"/>
      <c r="B290" s="17"/>
      <c r="C290" s="18"/>
      <c r="D290" s="19" t="str">
        <f>IF(AND(A290&lt;&gt;"",COUNTIF(A16:A515,A290)&gt;1),"⚠️ JÁ PESADO! Peso: "&amp;TEXT(IFERROR(INDEX(B16:B515,MATCH(A290,A16:A515,0)),0),"#,##0.0")&amp;" kg  Lote: "&amp;IFERROR(INDEX(C16:C515,MATCH(A290,A16:A515,0)),"?"),"")</f>
        <v/>
      </c>
    </row>
    <row r="291" spans="1:4" ht="16.5" customHeight="1" x14ac:dyDescent="0.25">
      <c r="A291" s="20"/>
      <c r="B291" s="21"/>
      <c r="C291" s="22"/>
      <c r="D291" s="23" t="str">
        <f>IF(AND(A291&lt;&gt;"",COUNTIF(A16:A515,A291)&gt;1),"⚠️ JÁ PESADO! Peso: "&amp;TEXT(IFERROR(INDEX(B16:B515,MATCH(A291,A16:A515,0)),0),"#,##0.0")&amp;" kg  Lote: "&amp;IFERROR(INDEX(C16:C515,MATCH(A291,A16:A515,0)),"?"),"")</f>
        <v/>
      </c>
    </row>
    <row r="292" spans="1:4" ht="16.5" customHeight="1" x14ac:dyDescent="0.25">
      <c r="A292" s="16"/>
      <c r="B292" s="17"/>
      <c r="C292" s="18"/>
      <c r="D292" s="19" t="str">
        <f>IF(AND(A292&lt;&gt;"",COUNTIF(A16:A515,A292)&gt;1),"⚠️ JÁ PESADO! Peso: "&amp;TEXT(IFERROR(INDEX(B16:B515,MATCH(A292,A16:A515,0)),0),"#,##0.0")&amp;" kg  Lote: "&amp;IFERROR(INDEX(C16:C515,MATCH(A292,A16:A515,0)),"?"),"")</f>
        <v/>
      </c>
    </row>
    <row r="293" spans="1:4" ht="16.5" customHeight="1" x14ac:dyDescent="0.25">
      <c r="A293" s="20"/>
      <c r="B293" s="21"/>
      <c r="C293" s="22"/>
      <c r="D293" s="23" t="str">
        <f>IF(AND(A293&lt;&gt;"",COUNTIF(A16:A515,A293)&gt;1),"⚠️ JÁ PESADO! Peso: "&amp;TEXT(IFERROR(INDEX(B16:B515,MATCH(A293,A16:A515,0)),0),"#,##0.0")&amp;" kg  Lote: "&amp;IFERROR(INDEX(C16:C515,MATCH(A293,A16:A515,0)),"?"),"")</f>
        <v/>
      </c>
    </row>
    <row r="294" spans="1:4" ht="16.5" customHeight="1" x14ac:dyDescent="0.25">
      <c r="A294" s="16"/>
      <c r="B294" s="17"/>
      <c r="C294" s="18"/>
      <c r="D294" s="19" t="str">
        <f>IF(AND(A294&lt;&gt;"",COUNTIF(A16:A515,A294)&gt;1),"⚠️ JÁ PESADO! Peso: "&amp;TEXT(IFERROR(INDEX(B16:B515,MATCH(A294,A16:A515,0)),0),"#,##0.0")&amp;" kg  Lote: "&amp;IFERROR(INDEX(C16:C515,MATCH(A294,A16:A515,0)),"?"),"")</f>
        <v/>
      </c>
    </row>
    <row r="295" spans="1:4" ht="16.5" customHeight="1" x14ac:dyDescent="0.25">
      <c r="A295" s="20"/>
      <c r="B295" s="21"/>
      <c r="C295" s="22"/>
      <c r="D295" s="23" t="str">
        <f>IF(AND(A295&lt;&gt;"",COUNTIF(A16:A515,A295)&gt;1),"⚠️ JÁ PESADO! Peso: "&amp;TEXT(IFERROR(INDEX(B16:B515,MATCH(A295,A16:A515,0)),0),"#,##0.0")&amp;" kg  Lote: "&amp;IFERROR(INDEX(C16:C515,MATCH(A295,A16:A515,0)),"?"),"")</f>
        <v/>
      </c>
    </row>
    <row r="296" spans="1:4" ht="16.5" customHeight="1" x14ac:dyDescent="0.25">
      <c r="A296" s="16"/>
      <c r="B296" s="17"/>
      <c r="C296" s="18"/>
      <c r="D296" s="19" t="str">
        <f>IF(AND(A296&lt;&gt;"",COUNTIF(A16:A515,A296)&gt;1),"⚠️ JÁ PESADO! Peso: "&amp;TEXT(IFERROR(INDEX(B16:B515,MATCH(A296,A16:A515,0)),0),"#,##0.0")&amp;" kg  Lote: "&amp;IFERROR(INDEX(C16:C515,MATCH(A296,A16:A515,0)),"?"),"")</f>
        <v/>
      </c>
    </row>
    <row r="297" spans="1:4" ht="16.5" customHeight="1" x14ac:dyDescent="0.25">
      <c r="A297" s="20"/>
      <c r="B297" s="21"/>
      <c r="C297" s="22"/>
      <c r="D297" s="23" t="str">
        <f>IF(AND(A297&lt;&gt;"",COUNTIF(A16:A515,A297)&gt;1),"⚠️ JÁ PESADO! Peso: "&amp;TEXT(IFERROR(INDEX(B16:B515,MATCH(A297,A16:A515,0)),0),"#,##0.0")&amp;" kg  Lote: "&amp;IFERROR(INDEX(C16:C515,MATCH(A297,A16:A515,0)),"?"),"")</f>
        <v/>
      </c>
    </row>
    <row r="298" spans="1:4" ht="16.5" customHeight="1" x14ac:dyDescent="0.25">
      <c r="A298" s="16"/>
      <c r="B298" s="17"/>
      <c r="C298" s="18"/>
      <c r="D298" s="19" t="str">
        <f>IF(AND(A298&lt;&gt;"",COUNTIF(A16:A515,A298)&gt;1),"⚠️ JÁ PESADO! Peso: "&amp;TEXT(IFERROR(INDEX(B16:B515,MATCH(A298,A16:A515,0)),0),"#,##0.0")&amp;" kg  Lote: "&amp;IFERROR(INDEX(C16:C515,MATCH(A298,A16:A515,0)),"?"),"")</f>
        <v/>
      </c>
    </row>
    <row r="299" spans="1:4" ht="16.5" customHeight="1" x14ac:dyDescent="0.25">
      <c r="A299" s="20"/>
      <c r="B299" s="21"/>
      <c r="C299" s="22"/>
      <c r="D299" s="23" t="str">
        <f>IF(AND(A299&lt;&gt;"",COUNTIF(A16:A515,A299)&gt;1),"⚠️ JÁ PESADO! Peso: "&amp;TEXT(IFERROR(INDEX(B16:B515,MATCH(A299,A16:A515,0)),0),"#,##0.0")&amp;" kg  Lote: "&amp;IFERROR(INDEX(C16:C515,MATCH(A299,A16:A515,0)),"?"),"")</f>
        <v/>
      </c>
    </row>
    <row r="300" spans="1:4" ht="16.5" customHeight="1" x14ac:dyDescent="0.25">
      <c r="A300" s="16"/>
      <c r="B300" s="17"/>
      <c r="C300" s="18"/>
      <c r="D300" s="19" t="str">
        <f>IF(AND(A300&lt;&gt;"",COUNTIF(A16:A515,A300)&gt;1),"⚠️ JÁ PESADO! Peso: "&amp;TEXT(IFERROR(INDEX(B16:B515,MATCH(A300,A16:A515,0)),0),"#,##0.0")&amp;" kg  Lote: "&amp;IFERROR(INDEX(C16:C515,MATCH(A300,A16:A515,0)),"?"),"")</f>
        <v/>
      </c>
    </row>
    <row r="301" spans="1:4" ht="16.5" customHeight="1" x14ac:dyDescent="0.25">
      <c r="A301" s="20"/>
      <c r="B301" s="21"/>
      <c r="C301" s="22"/>
      <c r="D301" s="23" t="str">
        <f>IF(AND(A301&lt;&gt;"",COUNTIF(A16:A515,A301)&gt;1),"⚠️ JÁ PESADO! Peso: "&amp;TEXT(IFERROR(INDEX(B16:B515,MATCH(A301,A16:A515,0)),0),"#,##0.0")&amp;" kg  Lote: "&amp;IFERROR(INDEX(C16:C515,MATCH(A301,A16:A515,0)),"?"),"")</f>
        <v/>
      </c>
    </row>
    <row r="302" spans="1:4" ht="16.5" customHeight="1" x14ac:dyDescent="0.25">
      <c r="A302" s="16"/>
      <c r="B302" s="17"/>
      <c r="C302" s="18"/>
      <c r="D302" s="19" t="str">
        <f>IF(AND(A302&lt;&gt;"",COUNTIF(A16:A515,A302)&gt;1),"⚠️ JÁ PESADO! Peso: "&amp;TEXT(IFERROR(INDEX(B16:B515,MATCH(A302,A16:A515,0)),0),"#,##0.0")&amp;" kg  Lote: "&amp;IFERROR(INDEX(C16:C515,MATCH(A302,A16:A515,0)),"?"),"")</f>
        <v/>
      </c>
    </row>
    <row r="303" spans="1:4" ht="16.5" customHeight="1" x14ac:dyDescent="0.25">
      <c r="A303" s="20"/>
      <c r="B303" s="21"/>
      <c r="C303" s="22"/>
      <c r="D303" s="23" t="str">
        <f>IF(AND(A303&lt;&gt;"",COUNTIF(A16:A515,A303)&gt;1),"⚠️ JÁ PESADO! Peso: "&amp;TEXT(IFERROR(INDEX(B16:B515,MATCH(A303,A16:A515,0)),0),"#,##0.0")&amp;" kg  Lote: "&amp;IFERROR(INDEX(C16:C515,MATCH(A303,A16:A515,0)),"?"),"")</f>
        <v/>
      </c>
    </row>
    <row r="304" spans="1:4" ht="16.5" customHeight="1" x14ac:dyDescent="0.25">
      <c r="A304" s="16"/>
      <c r="B304" s="17"/>
      <c r="C304" s="18"/>
      <c r="D304" s="19" t="str">
        <f>IF(AND(A304&lt;&gt;"",COUNTIF(A16:A515,A304)&gt;1),"⚠️ JÁ PESADO! Peso: "&amp;TEXT(IFERROR(INDEX(B16:B515,MATCH(A304,A16:A515,0)),0),"#,##0.0")&amp;" kg  Lote: "&amp;IFERROR(INDEX(C16:C515,MATCH(A304,A16:A515,0)),"?"),"")</f>
        <v/>
      </c>
    </row>
    <row r="305" spans="1:4" ht="16.5" customHeight="1" x14ac:dyDescent="0.25">
      <c r="A305" s="20"/>
      <c r="B305" s="21"/>
      <c r="C305" s="22"/>
      <c r="D305" s="23" t="str">
        <f>IF(AND(A305&lt;&gt;"",COUNTIF(A16:A515,A305)&gt;1),"⚠️ JÁ PESADO! Peso: "&amp;TEXT(IFERROR(INDEX(B16:B515,MATCH(A305,A16:A515,0)),0),"#,##0.0")&amp;" kg  Lote: "&amp;IFERROR(INDEX(C16:C515,MATCH(A305,A16:A515,0)),"?"),"")</f>
        <v/>
      </c>
    </row>
    <row r="306" spans="1:4" ht="16.5" customHeight="1" x14ac:dyDescent="0.25">
      <c r="A306" s="16"/>
      <c r="B306" s="17"/>
      <c r="C306" s="18"/>
      <c r="D306" s="19" t="str">
        <f>IF(AND(A306&lt;&gt;"",COUNTIF(A16:A515,A306)&gt;1),"⚠️ JÁ PESADO! Peso: "&amp;TEXT(IFERROR(INDEX(B16:B515,MATCH(A306,A16:A515,0)),0),"#,##0.0")&amp;" kg  Lote: "&amp;IFERROR(INDEX(C16:C515,MATCH(A306,A16:A515,0)),"?"),"")</f>
        <v/>
      </c>
    </row>
    <row r="307" spans="1:4" ht="16.5" customHeight="1" x14ac:dyDescent="0.25">
      <c r="A307" s="20"/>
      <c r="B307" s="21"/>
      <c r="C307" s="22"/>
      <c r="D307" s="23" t="str">
        <f>IF(AND(A307&lt;&gt;"",COUNTIF(A16:A515,A307)&gt;1),"⚠️ JÁ PESADO! Peso: "&amp;TEXT(IFERROR(INDEX(B16:B515,MATCH(A307,A16:A515,0)),0),"#,##0.0")&amp;" kg  Lote: "&amp;IFERROR(INDEX(C16:C515,MATCH(A307,A16:A515,0)),"?"),"")</f>
        <v/>
      </c>
    </row>
    <row r="308" spans="1:4" ht="16.5" customHeight="1" x14ac:dyDescent="0.25">
      <c r="A308" s="16"/>
      <c r="B308" s="17"/>
      <c r="C308" s="18"/>
      <c r="D308" s="19" t="str">
        <f>IF(AND(A308&lt;&gt;"",COUNTIF(A16:A515,A308)&gt;1),"⚠️ JÁ PESADO! Peso: "&amp;TEXT(IFERROR(INDEX(B16:B515,MATCH(A308,A16:A515,0)),0),"#,##0.0")&amp;" kg  Lote: "&amp;IFERROR(INDEX(C16:C515,MATCH(A308,A16:A515,0)),"?"),"")</f>
        <v/>
      </c>
    </row>
    <row r="309" spans="1:4" ht="16.5" customHeight="1" x14ac:dyDescent="0.25">
      <c r="A309" s="20"/>
      <c r="B309" s="21"/>
      <c r="C309" s="22"/>
      <c r="D309" s="23" t="str">
        <f>IF(AND(A309&lt;&gt;"",COUNTIF(A16:A515,A309)&gt;1),"⚠️ JÁ PESADO! Peso: "&amp;TEXT(IFERROR(INDEX(B16:B515,MATCH(A309,A16:A515,0)),0),"#,##0.0")&amp;" kg  Lote: "&amp;IFERROR(INDEX(C16:C515,MATCH(A309,A16:A515,0)),"?"),"")</f>
        <v/>
      </c>
    </row>
    <row r="310" spans="1:4" ht="16.5" customHeight="1" x14ac:dyDescent="0.25">
      <c r="A310" s="16"/>
      <c r="B310" s="17"/>
      <c r="C310" s="18"/>
      <c r="D310" s="19" t="str">
        <f>IF(AND(A310&lt;&gt;"",COUNTIF(A16:A515,A310)&gt;1),"⚠️ JÁ PESADO! Peso: "&amp;TEXT(IFERROR(INDEX(B16:B515,MATCH(A310,A16:A515,0)),0),"#,##0.0")&amp;" kg  Lote: "&amp;IFERROR(INDEX(C16:C515,MATCH(A310,A16:A515,0)),"?"),"")</f>
        <v/>
      </c>
    </row>
    <row r="311" spans="1:4" ht="16.5" customHeight="1" x14ac:dyDescent="0.25">
      <c r="A311" s="20"/>
      <c r="B311" s="21"/>
      <c r="C311" s="22"/>
      <c r="D311" s="23" t="str">
        <f>IF(AND(A311&lt;&gt;"",COUNTIF(A16:A515,A311)&gt;1),"⚠️ JÁ PESADO! Peso: "&amp;TEXT(IFERROR(INDEX(B16:B515,MATCH(A311,A16:A515,0)),0),"#,##0.0")&amp;" kg  Lote: "&amp;IFERROR(INDEX(C16:C515,MATCH(A311,A16:A515,0)),"?"),"")</f>
        <v/>
      </c>
    </row>
    <row r="312" spans="1:4" ht="16.5" customHeight="1" x14ac:dyDescent="0.25">
      <c r="A312" s="16"/>
      <c r="B312" s="17"/>
      <c r="C312" s="18"/>
      <c r="D312" s="19" t="str">
        <f>IF(AND(A312&lt;&gt;"",COUNTIF(A16:A515,A312)&gt;1),"⚠️ JÁ PESADO! Peso: "&amp;TEXT(IFERROR(INDEX(B16:B515,MATCH(A312,A16:A515,0)),0),"#,##0.0")&amp;" kg  Lote: "&amp;IFERROR(INDEX(C16:C515,MATCH(A312,A16:A515,0)),"?"),"")</f>
        <v/>
      </c>
    </row>
    <row r="313" spans="1:4" ht="16.5" customHeight="1" x14ac:dyDescent="0.25">
      <c r="A313" s="20"/>
      <c r="B313" s="21"/>
      <c r="C313" s="22"/>
      <c r="D313" s="23" t="str">
        <f>IF(AND(A313&lt;&gt;"",COUNTIF(A16:A515,A313)&gt;1),"⚠️ JÁ PESADO! Peso: "&amp;TEXT(IFERROR(INDEX(B16:B515,MATCH(A313,A16:A515,0)),0),"#,##0.0")&amp;" kg  Lote: "&amp;IFERROR(INDEX(C16:C515,MATCH(A313,A16:A515,0)),"?"),"")</f>
        <v/>
      </c>
    </row>
    <row r="314" spans="1:4" ht="16.5" customHeight="1" x14ac:dyDescent="0.25">
      <c r="A314" s="16"/>
      <c r="B314" s="17"/>
      <c r="C314" s="18"/>
      <c r="D314" s="19" t="str">
        <f>IF(AND(A314&lt;&gt;"",COUNTIF(A16:A515,A314)&gt;1),"⚠️ JÁ PESADO! Peso: "&amp;TEXT(IFERROR(INDEX(B16:B515,MATCH(A314,A16:A515,0)),0),"#,##0.0")&amp;" kg  Lote: "&amp;IFERROR(INDEX(C16:C515,MATCH(A314,A16:A515,0)),"?"),"")</f>
        <v/>
      </c>
    </row>
    <row r="315" spans="1:4" ht="16.5" customHeight="1" x14ac:dyDescent="0.25">
      <c r="A315" s="20"/>
      <c r="B315" s="21"/>
      <c r="C315" s="22"/>
      <c r="D315" s="23" t="str">
        <f>IF(AND(A315&lt;&gt;"",COUNTIF(A16:A515,A315)&gt;1),"⚠️ JÁ PESADO! Peso: "&amp;TEXT(IFERROR(INDEX(B16:B515,MATCH(A315,A16:A515,0)),0),"#,##0.0")&amp;" kg  Lote: "&amp;IFERROR(INDEX(C16:C515,MATCH(A315,A16:A515,0)),"?"),"")</f>
        <v/>
      </c>
    </row>
    <row r="316" spans="1:4" ht="16.5" customHeight="1" x14ac:dyDescent="0.25">
      <c r="A316" s="16"/>
      <c r="B316" s="17"/>
      <c r="C316" s="18"/>
      <c r="D316" s="19" t="str">
        <f>IF(AND(A316&lt;&gt;"",COUNTIF(A16:A515,A316)&gt;1),"⚠️ JÁ PESADO! Peso: "&amp;TEXT(IFERROR(INDEX(B16:B515,MATCH(A316,A16:A515,0)),0),"#,##0.0")&amp;" kg  Lote: "&amp;IFERROR(INDEX(C16:C515,MATCH(A316,A16:A515,0)),"?"),"")</f>
        <v/>
      </c>
    </row>
    <row r="317" spans="1:4" ht="16.5" customHeight="1" x14ac:dyDescent="0.25">
      <c r="A317" s="20"/>
      <c r="B317" s="21"/>
      <c r="C317" s="22"/>
      <c r="D317" s="23" t="str">
        <f>IF(AND(A317&lt;&gt;"",COUNTIF(A16:A515,A317)&gt;1),"⚠️ JÁ PESADO! Peso: "&amp;TEXT(IFERROR(INDEX(B16:B515,MATCH(A317,A16:A515,0)),0),"#,##0.0")&amp;" kg  Lote: "&amp;IFERROR(INDEX(C16:C515,MATCH(A317,A16:A515,0)),"?"),"")</f>
        <v/>
      </c>
    </row>
    <row r="318" spans="1:4" ht="16.5" customHeight="1" x14ac:dyDescent="0.25">
      <c r="A318" s="16"/>
      <c r="B318" s="17"/>
      <c r="C318" s="18"/>
      <c r="D318" s="19" t="str">
        <f>IF(AND(A318&lt;&gt;"",COUNTIF(A16:A515,A318)&gt;1),"⚠️ JÁ PESADO! Peso: "&amp;TEXT(IFERROR(INDEX(B16:B515,MATCH(A318,A16:A515,0)),0),"#,##0.0")&amp;" kg  Lote: "&amp;IFERROR(INDEX(C16:C515,MATCH(A318,A16:A515,0)),"?"),"")</f>
        <v/>
      </c>
    </row>
    <row r="319" spans="1:4" ht="16.5" customHeight="1" x14ac:dyDescent="0.25">
      <c r="A319" s="20"/>
      <c r="B319" s="21"/>
      <c r="C319" s="22"/>
      <c r="D319" s="23" t="str">
        <f>IF(AND(A319&lt;&gt;"",COUNTIF(A16:A515,A319)&gt;1),"⚠️ JÁ PESADO! Peso: "&amp;TEXT(IFERROR(INDEX(B16:B515,MATCH(A319,A16:A515,0)),0),"#,##0.0")&amp;" kg  Lote: "&amp;IFERROR(INDEX(C16:C515,MATCH(A319,A16:A515,0)),"?"),"")</f>
        <v/>
      </c>
    </row>
    <row r="320" spans="1:4" ht="16.5" customHeight="1" x14ac:dyDescent="0.25">
      <c r="A320" s="16"/>
      <c r="B320" s="17"/>
      <c r="C320" s="18"/>
      <c r="D320" s="19" t="str">
        <f>IF(AND(A320&lt;&gt;"",COUNTIF(A16:A515,A320)&gt;1),"⚠️ JÁ PESADO! Peso: "&amp;TEXT(IFERROR(INDEX(B16:B515,MATCH(A320,A16:A515,0)),0),"#,##0.0")&amp;" kg  Lote: "&amp;IFERROR(INDEX(C16:C515,MATCH(A320,A16:A515,0)),"?"),"")</f>
        <v/>
      </c>
    </row>
    <row r="321" spans="1:4" ht="16.5" customHeight="1" x14ac:dyDescent="0.25">
      <c r="A321" s="20"/>
      <c r="B321" s="21"/>
      <c r="C321" s="22"/>
      <c r="D321" s="23" t="str">
        <f>IF(AND(A321&lt;&gt;"",COUNTIF(A16:A515,A321)&gt;1),"⚠️ JÁ PESADO! Peso: "&amp;TEXT(IFERROR(INDEX(B16:B515,MATCH(A321,A16:A515,0)),0),"#,##0.0")&amp;" kg  Lote: "&amp;IFERROR(INDEX(C16:C515,MATCH(A321,A16:A515,0)),"?"),"")</f>
        <v/>
      </c>
    </row>
    <row r="322" spans="1:4" ht="16.5" customHeight="1" x14ac:dyDescent="0.25">
      <c r="A322" s="16"/>
      <c r="B322" s="17"/>
      <c r="C322" s="18"/>
      <c r="D322" s="19" t="str">
        <f>IF(AND(A322&lt;&gt;"",COUNTIF(A16:A515,A322)&gt;1),"⚠️ JÁ PESADO! Peso: "&amp;TEXT(IFERROR(INDEX(B16:B515,MATCH(A322,A16:A515,0)),0),"#,##0.0")&amp;" kg  Lote: "&amp;IFERROR(INDEX(C16:C515,MATCH(A322,A16:A515,0)),"?"),"")</f>
        <v/>
      </c>
    </row>
    <row r="323" spans="1:4" ht="16.5" customHeight="1" x14ac:dyDescent="0.25">
      <c r="A323" s="20"/>
      <c r="B323" s="21"/>
      <c r="C323" s="22"/>
      <c r="D323" s="23" t="str">
        <f>IF(AND(A323&lt;&gt;"",COUNTIF(A16:A515,A323)&gt;1),"⚠️ JÁ PESADO! Peso: "&amp;TEXT(IFERROR(INDEX(B16:B515,MATCH(A323,A16:A515,0)),0),"#,##0.0")&amp;" kg  Lote: "&amp;IFERROR(INDEX(C16:C515,MATCH(A323,A16:A515,0)),"?"),"")</f>
        <v/>
      </c>
    </row>
    <row r="324" spans="1:4" ht="16.5" customHeight="1" x14ac:dyDescent="0.25">
      <c r="A324" s="16"/>
      <c r="B324" s="17"/>
      <c r="C324" s="18"/>
      <c r="D324" s="19" t="str">
        <f>IF(AND(A324&lt;&gt;"",COUNTIF(A16:A515,A324)&gt;1),"⚠️ JÁ PESADO! Peso: "&amp;TEXT(IFERROR(INDEX(B16:B515,MATCH(A324,A16:A515,0)),0),"#,##0.0")&amp;" kg  Lote: "&amp;IFERROR(INDEX(C16:C515,MATCH(A324,A16:A515,0)),"?"),"")</f>
        <v/>
      </c>
    </row>
    <row r="325" spans="1:4" ht="16.5" customHeight="1" x14ac:dyDescent="0.25">
      <c r="A325" s="20"/>
      <c r="B325" s="21"/>
      <c r="C325" s="22"/>
      <c r="D325" s="23" t="str">
        <f>IF(AND(A325&lt;&gt;"",COUNTIF(A16:A515,A325)&gt;1),"⚠️ JÁ PESADO! Peso: "&amp;TEXT(IFERROR(INDEX(B16:B515,MATCH(A325,A16:A515,0)),0),"#,##0.0")&amp;" kg  Lote: "&amp;IFERROR(INDEX(C16:C515,MATCH(A325,A16:A515,0)),"?"),"")</f>
        <v/>
      </c>
    </row>
    <row r="326" spans="1:4" ht="16.5" customHeight="1" x14ac:dyDescent="0.25">
      <c r="A326" s="16"/>
      <c r="B326" s="17"/>
      <c r="C326" s="18"/>
      <c r="D326" s="19" t="str">
        <f>IF(AND(A326&lt;&gt;"",COUNTIF(A16:A515,A326)&gt;1),"⚠️ JÁ PESADO! Peso: "&amp;TEXT(IFERROR(INDEX(B16:B515,MATCH(A326,A16:A515,0)),0),"#,##0.0")&amp;" kg  Lote: "&amp;IFERROR(INDEX(C16:C515,MATCH(A326,A16:A515,0)),"?"),"")</f>
        <v/>
      </c>
    </row>
    <row r="327" spans="1:4" ht="16.5" customHeight="1" x14ac:dyDescent="0.25">
      <c r="A327" s="20"/>
      <c r="B327" s="21"/>
      <c r="C327" s="22"/>
      <c r="D327" s="23" t="str">
        <f>IF(AND(A327&lt;&gt;"",COUNTIF(A16:A515,A327)&gt;1),"⚠️ JÁ PESADO! Peso: "&amp;TEXT(IFERROR(INDEX(B16:B515,MATCH(A327,A16:A515,0)),0),"#,##0.0")&amp;" kg  Lote: "&amp;IFERROR(INDEX(C16:C515,MATCH(A327,A16:A515,0)),"?"),"")</f>
        <v/>
      </c>
    </row>
    <row r="328" spans="1:4" ht="16.5" customHeight="1" x14ac:dyDescent="0.25">
      <c r="A328" s="16"/>
      <c r="B328" s="17"/>
      <c r="C328" s="18"/>
      <c r="D328" s="19" t="str">
        <f>IF(AND(A328&lt;&gt;"",COUNTIF(A16:A515,A328)&gt;1),"⚠️ JÁ PESADO! Peso: "&amp;TEXT(IFERROR(INDEX(B16:B515,MATCH(A328,A16:A515,0)),0),"#,##0.0")&amp;" kg  Lote: "&amp;IFERROR(INDEX(C16:C515,MATCH(A328,A16:A515,0)),"?"),"")</f>
        <v/>
      </c>
    </row>
    <row r="329" spans="1:4" ht="16.5" customHeight="1" x14ac:dyDescent="0.25">
      <c r="A329" s="20"/>
      <c r="B329" s="21"/>
      <c r="C329" s="22"/>
      <c r="D329" s="23" t="str">
        <f>IF(AND(A329&lt;&gt;"",COUNTIF(A16:A515,A329)&gt;1),"⚠️ JÁ PESADO! Peso: "&amp;TEXT(IFERROR(INDEX(B16:B515,MATCH(A329,A16:A515,0)),0),"#,##0.0")&amp;" kg  Lote: "&amp;IFERROR(INDEX(C16:C515,MATCH(A329,A16:A515,0)),"?"),"")</f>
        <v/>
      </c>
    </row>
    <row r="330" spans="1:4" ht="16.5" customHeight="1" x14ac:dyDescent="0.25">
      <c r="A330" s="16"/>
      <c r="B330" s="17"/>
      <c r="C330" s="18"/>
      <c r="D330" s="19" t="str">
        <f>IF(AND(A330&lt;&gt;"",COUNTIF(A16:A515,A330)&gt;1),"⚠️ JÁ PESADO! Peso: "&amp;TEXT(IFERROR(INDEX(B16:B515,MATCH(A330,A16:A515,0)),0),"#,##0.0")&amp;" kg  Lote: "&amp;IFERROR(INDEX(C16:C515,MATCH(A330,A16:A515,0)),"?"),"")</f>
        <v/>
      </c>
    </row>
    <row r="331" spans="1:4" ht="16.5" customHeight="1" x14ac:dyDescent="0.25">
      <c r="A331" s="20"/>
      <c r="B331" s="21"/>
      <c r="C331" s="22"/>
      <c r="D331" s="23" t="str">
        <f>IF(AND(A331&lt;&gt;"",COUNTIF(A16:A515,A331)&gt;1),"⚠️ JÁ PESADO! Peso: "&amp;TEXT(IFERROR(INDEX(B16:B515,MATCH(A331,A16:A515,0)),0),"#,##0.0")&amp;" kg  Lote: "&amp;IFERROR(INDEX(C16:C515,MATCH(A331,A16:A515,0)),"?"),"")</f>
        <v/>
      </c>
    </row>
    <row r="332" spans="1:4" ht="16.5" customHeight="1" x14ac:dyDescent="0.25">
      <c r="A332" s="16"/>
      <c r="B332" s="17"/>
      <c r="C332" s="18"/>
      <c r="D332" s="19" t="str">
        <f>IF(AND(A332&lt;&gt;"",COUNTIF(A16:A515,A332)&gt;1),"⚠️ JÁ PESADO! Peso: "&amp;TEXT(IFERROR(INDEX(B16:B515,MATCH(A332,A16:A515,0)),0),"#,##0.0")&amp;" kg  Lote: "&amp;IFERROR(INDEX(C16:C515,MATCH(A332,A16:A515,0)),"?"),"")</f>
        <v/>
      </c>
    </row>
    <row r="333" spans="1:4" ht="16.5" customHeight="1" x14ac:dyDescent="0.25">
      <c r="A333" s="20"/>
      <c r="B333" s="21"/>
      <c r="C333" s="22"/>
      <c r="D333" s="23" t="str">
        <f>IF(AND(A333&lt;&gt;"",COUNTIF(A16:A515,A333)&gt;1),"⚠️ JÁ PESADO! Peso: "&amp;TEXT(IFERROR(INDEX(B16:B515,MATCH(A333,A16:A515,0)),0),"#,##0.0")&amp;" kg  Lote: "&amp;IFERROR(INDEX(C16:C515,MATCH(A333,A16:A515,0)),"?"),"")</f>
        <v/>
      </c>
    </row>
    <row r="334" spans="1:4" ht="16.5" customHeight="1" x14ac:dyDescent="0.25">
      <c r="A334" s="16"/>
      <c r="B334" s="17"/>
      <c r="C334" s="18"/>
      <c r="D334" s="19" t="str">
        <f>IF(AND(A334&lt;&gt;"",COUNTIF(A16:A515,A334)&gt;1),"⚠️ JÁ PESADO! Peso: "&amp;TEXT(IFERROR(INDEX(B16:B515,MATCH(A334,A16:A515,0)),0),"#,##0.0")&amp;" kg  Lote: "&amp;IFERROR(INDEX(C16:C515,MATCH(A334,A16:A515,0)),"?"),"")</f>
        <v/>
      </c>
    </row>
    <row r="335" spans="1:4" ht="16.5" customHeight="1" x14ac:dyDescent="0.25">
      <c r="A335" s="20"/>
      <c r="B335" s="21"/>
      <c r="C335" s="22"/>
      <c r="D335" s="23" t="str">
        <f>IF(AND(A335&lt;&gt;"",COUNTIF(A16:A515,A335)&gt;1),"⚠️ JÁ PESADO! Peso: "&amp;TEXT(IFERROR(INDEX(B16:B515,MATCH(A335,A16:A515,0)),0),"#,##0.0")&amp;" kg  Lote: "&amp;IFERROR(INDEX(C16:C515,MATCH(A335,A16:A515,0)),"?"),"")</f>
        <v/>
      </c>
    </row>
    <row r="336" spans="1:4" ht="16.5" customHeight="1" x14ac:dyDescent="0.25">
      <c r="A336" s="16"/>
      <c r="B336" s="17"/>
      <c r="C336" s="18"/>
      <c r="D336" s="19" t="str">
        <f>IF(AND(A336&lt;&gt;"",COUNTIF(A16:A515,A336)&gt;1),"⚠️ JÁ PESADO! Peso: "&amp;TEXT(IFERROR(INDEX(B16:B515,MATCH(A336,A16:A515,0)),0),"#,##0.0")&amp;" kg  Lote: "&amp;IFERROR(INDEX(C16:C515,MATCH(A336,A16:A515,0)),"?"),"")</f>
        <v/>
      </c>
    </row>
    <row r="337" spans="1:4" ht="16.5" customHeight="1" x14ac:dyDescent="0.25">
      <c r="A337" s="20"/>
      <c r="B337" s="21"/>
      <c r="C337" s="22"/>
      <c r="D337" s="23" t="str">
        <f>IF(AND(A337&lt;&gt;"",COUNTIF(A16:A515,A337)&gt;1),"⚠️ JÁ PESADO! Peso: "&amp;TEXT(IFERROR(INDEX(B16:B515,MATCH(A337,A16:A515,0)),0),"#,##0.0")&amp;" kg  Lote: "&amp;IFERROR(INDEX(C16:C515,MATCH(A337,A16:A515,0)),"?"),"")</f>
        <v/>
      </c>
    </row>
    <row r="338" spans="1:4" ht="16.5" customHeight="1" x14ac:dyDescent="0.25">
      <c r="A338" s="16"/>
      <c r="B338" s="17"/>
      <c r="C338" s="18"/>
      <c r="D338" s="19" t="str">
        <f>IF(AND(A338&lt;&gt;"",COUNTIF(A16:A515,A338)&gt;1),"⚠️ JÁ PESADO! Peso: "&amp;TEXT(IFERROR(INDEX(B16:B515,MATCH(A338,A16:A515,0)),0),"#,##0.0")&amp;" kg  Lote: "&amp;IFERROR(INDEX(C16:C515,MATCH(A338,A16:A515,0)),"?"),"")</f>
        <v/>
      </c>
    </row>
    <row r="339" spans="1:4" ht="16.5" customHeight="1" x14ac:dyDescent="0.25">
      <c r="A339" s="20"/>
      <c r="B339" s="21"/>
      <c r="C339" s="22"/>
      <c r="D339" s="23" t="str">
        <f>IF(AND(A339&lt;&gt;"",COUNTIF(A16:A515,A339)&gt;1),"⚠️ JÁ PESADO! Peso: "&amp;TEXT(IFERROR(INDEX(B16:B515,MATCH(A339,A16:A515,0)),0),"#,##0.0")&amp;" kg  Lote: "&amp;IFERROR(INDEX(C16:C515,MATCH(A339,A16:A515,0)),"?"),"")</f>
        <v/>
      </c>
    </row>
    <row r="340" spans="1:4" ht="16.5" customHeight="1" x14ac:dyDescent="0.25">
      <c r="A340" s="16"/>
      <c r="B340" s="17"/>
      <c r="C340" s="18"/>
      <c r="D340" s="19" t="str">
        <f>IF(AND(A340&lt;&gt;"",COUNTIF(A16:A515,A340)&gt;1),"⚠️ JÁ PESADO! Peso: "&amp;TEXT(IFERROR(INDEX(B16:B515,MATCH(A340,A16:A515,0)),0),"#,##0.0")&amp;" kg  Lote: "&amp;IFERROR(INDEX(C16:C515,MATCH(A340,A16:A515,0)),"?"),"")</f>
        <v/>
      </c>
    </row>
    <row r="341" spans="1:4" ht="16.5" customHeight="1" x14ac:dyDescent="0.25">
      <c r="A341" s="20"/>
      <c r="B341" s="21"/>
      <c r="C341" s="22"/>
      <c r="D341" s="23" t="str">
        <f>IF(AND(A341&lt;&gt;"",COUNTIF(A16:A515,A341)&gt;1),"⚠️ JÁ PESADO! Peso: "&amp;TEXT(IFERROR(INDEX(B16:B515,MATCH(A341,A16:A515,0)),0),"#,##0.0")&amp;" kg  Lote: "&amp;IFERROR(INDEX(C16:C515,MATCH(A341,A16:A515,0)),"?"),"")</f>
        <v/>
      </c>
    </row>
    <row r="342" spans="1:4" ht="16.5" customHeight="1" x14ac:dyDescent="0.25">
      <c r="A342" s="16"/>
      <c r="B342" s="17"/>
      <c r="C342" s="18"/>
      <c r="D342" s="19" t="str">
        <f>IF(AND(A342&lt;&gt;"",COUNTIF(A16:A515,A342)&gt;1),"⚠️ JÁ PESADO! Peso: "&amp;TEXT(IFERROR(INDEX(B16:B515,MATCH(A342,A16:A515,0)),0),"#,##0.0")&amp;" kg  Lote: "&amp;IFERROR(INDEX(C16:C515,MATCH(A342,A16:A515,0)),"?"),"")</f>
        <v/>
      </c>
    </row>
    <row r="343" spans="1:4" ht="16.5" customHeight="1" x14ac:dyDescent="0.25">
      <c r="A343" s="20"/>
      <c r="B343" s="21"/>
      <c r="C343" s="22"/>
      <c r="D343" s="23" t="str">
        <f>IF(AND(A343&lt;&gt;"",COUNTIF(A16:A515,A343)&gt;1),"⚠️ JÁ PESADO! Peso: "&amp;TEXT(IFERROR(INDEX(B16:B515,MATCH(A343,A16:A515,0)),0),"#,##0.0")&amp;" kg  Lote: "&amp;IFERROR(INDEX(C16:C515,MATCH(A343,A16:A515,0)),"?"),"")</f>
        <v/>
      </c>
    </row>
    <row r="344" spans="1:4" ht="16.5" customHeight="1" x14ac:dyDescent="0.25">
      <c r="A344" s="16"/>
      <c r="B344" s="17"/>
      <c r="C344" s="18"/>
      <c r="D344" s="19" t="str">
        <f>IF(AND(A344&lt;&gt;"",COUNTIF(A16:A515,A344)&gt;1),"⚠️ JÁ PESADO! Peso: "&amp;TEXT(IFERROR(INDEX(B16:B515,MATCH(A344,A16:A515,0)),0),"#,##0.0")&amp;" kg  Lote: "&amp;IFERROR(INDEX(C16:C515,MATCH(A344,A16:A515,0)),"?"),"")</f>
        <v/>
      </c>
    </row>
    <row r="345" spans="1:4" ht="16.5" customHeight="1" x14ac:dyDescent="0.25">
      <c r="A345" s="20"/>
      <c r="B345" s="21"/>
      <c r="C345" s="22"/>
      <c r="D345" s="23" t="str">
        <f>IF(AND(A345&lt;&gt;"",COUNTIF(A16:A515,A345)&gt;1),"⚠️ JÁ PESADO! Peso: "&amp;TEXT(IFERROR(INDEX(B16:B515,MATCH(A345,A16:A515,0)),0),"#,##0.0")&amp;" kg  Lote: "&amp;IFERROR(INDEX(C16:C515,MATCH(A345,A16:A515,0)),"?"),"")</f>
        <v/>
      </c>
    </row>
    <row r="346" spans="1:4" ht="16.5" customHeight="1" x14ac:dyDescent="0.25">
      <c r="A346" s="16"/>
      <c r="B346" s="17"/>
      <c r="C346" s="18"/>
      <c r="D346" s="19" t="str">
        <f>IF(AND(A346&lt;&gt;"",COUNTIF(A16:A515,A346)&gt;1),"⚠️ JÁ PESADO! Peso: "&amp;TEXT(IFERROR(INDEX(B16:B515,MATCH(A346,A16:A515,0)),0),"#,##0.0")&amp;" kg  Lote: "&amp;IFERROR(INDEX(C16:C515,MATCH(A346,A16:A515,0)),"?"),"")</f>
        <v/>
      </c>
    </row>
    <row r="347" spans="1:4" ht="16.5" customHeight="1" x14ac:dyDescent="0.25">
      <c r="A347" s="20"/>
      <c r="B347" s="21"/>
      <c r="C347" s="22"/>
      <c r="D347" s="23" t="str">
        <f>IF(AND(A347&lt;&gt;"",COUNTIF(A16:A515,A347)&gt;1),"⚠️ JÁ PESADO! Peso: "&amp;TEXT(IFERROR(INDEX(B16:B515,MATCH(A347,A16:A515,0)),0),"#,##0.0")&amp;" kg  Lote: "&amp;IFERROR(INDEX(C16:C515,MATCH(A347,A16:A515,0)),"?"),"")</f>
        <v/>
      </c>
    </row>
    <row r="348" spans="1:4" ht="16.5" customHeight="1" x14ac:dyDescent="0.25">
      <c r="A348" s="16"/>
      <c r="B348" s="17"/>
      <c r="C348" s="18"/>
      <c r="D348" s="19" t="str">
        <f>IF(AND(A348&lt;&gt;"",COUNTIF(A16:A515,A348)&gt;1),"⚠️ JÁ PESADO! Peso: "&amp;TEXT(IFERROR(INDEX(B16:B515,MATCH(A348,A16:A515,0)),0),"#,##0.0")&amp;" kg  Lote: "&amp;IFERROR(INDEX(C16:C515,MATCH(A348,A16:A515,0)),"?"),"")</f>
        <v/>
      </c>
    </row>
    <row r="349" spans="1:4" ht="16.5" customHeight="1" x14ac:dyDescent="0.25">
      <c r="A349" s="20"/>
      <c r="B349" s="21"/>
      <c r="C349" s="22"/>
      <c r="D349" s="23" t="str">
        <f>IF(AND(A349&lt;&gt;"",COUNTIF(A16:A515,A349)&gt;1),"⚠️ JÁ PESADO! Peso: "&amp;TEXT(IFERROR(INDEX(B16:B515,MATCH(A349,A16:A515,0)),0),"#,##0.0")&amp;" kg  Lote: "&amp;IFERROR(INDEX(C16:C515,MATCH(A349,A16:A515,0)),"?"),"")</f>
        <v/>
      </c>
    </row>
    <row r="350" spans="1:4" ht="16.5" customHeight="1" x14ac:dyDescent="0.25">
      <c r="A350" s="16"/>
      <c r="B350" s="17"/>
      <c r="C350" s="18"/>
      <c r="D350" s="19" t="str">
        <f>IF(AND(A350&lt;&gt;"",COUNTIF(A16:A515,A350)&gt;1),"⚠️ JÁ PESADO! Peso: "&amp;TEXT(IFERROR(INDEX(B16:B515,MATCH(A350,A16:A515,0)),0),"#,##0.0")&amp;" kg  Lote: "&amp;IFERROR(INDEX(C16:C515,MATCH(A350,A16:A515,0)),"?"),"")</f>
        <v/>
      </c>
    </row>
    <row r="351" spans="1:4" ht="16.5" customHeight="1" x14ac:dyDescent="0.25">
      <c r="A351" s="20"/>
      <c r="B351" s="21"/>
      <c r="C351" s="22"/>
      <c r="D351" s="23" t="str">
        <f>IF(AND(A351&lt;&gt;"",COUNTIF(A16:A515,A351)&gt;1),"⚠️ JÁ PESADO! Peso: "&amp;TEXT(IFERROR(INDEX(B16:B515,MATCH(A351,A16:A515,0)),0),"#,##0.0")&amp;" kg  Lote: "&amp;IFERROR(INDEX(C16:C515,MATCH(A351,A16:A515,0)),"?"),"")</f>
        <v/>
      </c>
    </row>
    <row r="352" spans="1:4" ht="16.5" customHeight="1" x14ac:dyDescent="0.25">
      <c r="A352" s="16"/>
      <c r="B352" s="17"/>
      <c r="C352" s="18"/>
      <c r="D352" s="19" t="str">
        <f>IF(AND(A352&lt;&gt;"",COUNTIF(A16:A515,A352)&gt;1),"⚠️ JÁ PESADO! Peso: "&amp;TEXT(IFERROR(INDEX(B16:B515,MATCH(A352,A16:A515,0)),0),"#,##0.0")&amp;" kg  Lote: "&amp;IFERROR(INDEX(C16:C515,MATCH(A352,A16:A515,0)),"?"),"")</f>
        <v/>
      </c>
    </row>
    <row r="353" spans="1:4" ht="16.5" customHeight="1" x14ac:dyDescent="0.25">
      <c r="A353" s="20"/>
      <c r="B353" s="21"/>
      <c r="C353" s="22"/>
      <c r="D353" s="23" t="str">
        <f>IF(AND(A353&lt;&gt;"",COUNTIF(A16:A515,A353)&gt;1),"⚠️ JÁ PESADO! Peso: "&amp;TEXT(IFERROR(INDEX(B16:B515,MATCH(A353,A16:A515,0)),0),"#,##0.0")&amp;" kg  Lote: "&amp;IFERROR(INDEX(C16:C515,MATCH(A353,A16:A515,0)),"?"),"")</f>
        <v/>
      </c>
    </row>
    <row r="354" spans="1:4" ht="16.5" customHeight="1" x14ac:dyDescent="0.25">
      <c r="A354" s="16"/>
      <c r="B354" s="17"/>
      <c r="C354" s="18"/>
      <c r="D354" s="19" t="str">
        <f>IF(AND(A354&lt;&gt;"",COUNTIF(A16:A515,A354)&gt;1),"⚠️ JÁ PESADO! Peso: "&amp;TEXT(IFERROR(INDEX(B16:B515,MATCH(A354,A16:A515,0)),0),"#,##0.0")&amp;" kg  Lote: "&amp;IFERROR(INDEX(C16:C515,MATCH(A354,A16:A515,0)),"?"),"")</f>
        <v/>
      </c>
    </row>
    <row r="355" spans="1:4" ht="16.5" customHeight="1" x14ac:dyDescent="0.25">
      <c r="A355" s="20"/>
      <c r="B355" s="21"/>
      <c r="C355" s="22"/>
      <c r="D355" s="23" t="str">
        <f>IF(AND(A355&lt;&gt;"",COUNTIF(A16:A515,A355)&gt;1),"⚠️ JÁ PESADO! Peso: "&amp;TEXT(IFERROR(INDEX(B16:B515,MATCH(A355,A16:A515,0)),0),"#,##0.0")&amp;" kg  Lote: "&amp;IFERROR(INDEX(C16:C515,MATCH(A355,A16:A515,0)),"?"),"")</f>
        <v/>
      </c>
    </row>
    <row r="356" spans="1:4" ht="16.5" customHeight="1" x14ac:dyDescent="0.25">
      <c r="A356" s="16"/>
      <c r="B356" s="17"/>
      <c r="C356" s="18"/>
      <c r="D356" s="19" t="str">
        <f>IF(AND(A356&lt;&gt;"",COUNTIF(A16:A515,A356)&gt;1),"⚠️ JÁ PESADO! Peso: "&amp;TEXT(IFERROR(INDEX(B16:B515,MATCH(A356,A16:A515,0)),0),"#,##0.0")&amp;" kg  Lote: "&amp;IFERROR(INDEX(C16:C515,MATCH(A356,A16:A515,0)),"?"),"")</f>
        <v/>
      </c>
    </row>
    <row r="357" spans="1:4" ht="16.5" customHeight="1" x14ac:dyDescent="0.25">
      <c r="A357" s="20"/>
      <c r="B357" s="21"/>
      <c r="C357" s="22"/>
      <c r="D357" s="23" t="str">
        <f>IF(AND(A357&lt;&gt;"",COUNTIF(A16:A515,A357)&gt;1),"⚠️ JÁ PESADO! Peso: "&amp;TEXT(IFERROR(INDEX(B16:B515,MATCH(A357,A16:A515,0)),0),"#,##0.0")&amp;" kg  Lote: "&amp;IFERROR(INDEX(C16:C515,MATCH(A357,A16:A515,0)),"?"),"")</f>
        <v/>
      </c>
    </row>
    <row r="358" spans="1:4" ht="16.5" customHeight="1" x14ac:dyDescent="0.25">
      <c r="A358" s="16"/>
      <c r="B358" s="17"/>
      <c r="C358" s="18"/>
      <c r="D358" s="19" t="str">
        <f>IF(AND(A358&lt;&gt;"",COUNTIF(A16:A515,A358)&gt;1),"⚠️ JÁ PESADO! Peso: "&amp;TEXT(IFERROR(INDEX(B16:B515,MATCH(A358,A16:A515,0)),0),"#,##0.0")&amp;" kg  Lote: "&amp;IFERROR(INDEX(C16:C515,MATCH(A358,A16:A515,0)),"?"),"")</f>
        <v/>
      </c>
    </row>
    <row r="359" spans="1:4" ht="16.5" customHeight="1" x14ac:dyDescent="0.25">
      <c r="A359" s="20"/>
      <c r="B359" s="21"/>
      <c r="C359" s="22"/>
      <c r="D359" s="23" t="str">
        <f>IF(AND(A359&lt;&gt;"",COUNTIF(A16:A515,A359)&gt;1),"⚠️ JÁ PESADO! Peso: "&amp;TEXT(IFERROR(INDEX(B16:B515,MATCH(A359,A16:A515,0)),0),"#,##0.0")&amp;" kg  Lote: "&amp;IFERROR(INDEX(C16:C515,MATCH(A359,A16:A515,0)),"?"),"")</f>
        <v/>
      </c>
    </row>
    <row r="360" spans="1:4" ht="16.5" customHeight="1" x14ac:dyDescent="0.25">
      <c r="A360" s="16"/>
      <c r="B360" s="17"/>
      <c r="C360" s="18"/>
      <c r="D360" s="19" t="str">
        <f>IF(AND(A360&lt;&gt;"",COUNTIF(A16:A515,A360)&gt;1),"⚠️ JÁ PESADO! Peso: "&amp;TEXT(IFERROR(INDEX(B16:B515,MATCH(A360,A16:A515,0)),0),"#,##0.0")&amp;" kg  Lote: "&amp;IFERROR(INDEX(C16:C515,MATCH(A360,A16:A515,0)),"?"),"")</f>
        <v/>
      </c>
    </row>
    <row r="361" spans="1:4" ht="16.5" customHeight="1" x14ac:dyDescent="0.25">
      <c r="A361" s="20"/>
      <c r="B361" s="21"/>
      <c r="C361" s="22"/>
      <c r="D361" s="23" t="str">
        <f>IF(AND(A361&lt;&gt;"",COUNTIF(A16:A515,A361)&gt;1),"⚠️ JÁ PESADO! Peso: "&amp;TEXT(IFERROR(INDEX(B16:B515,MATCH(A361,A16:A515,0)),0),"#,##0.0")&amp;" kg  Lote: "&amp;IFERROR(INDEX(C16:C515,MATCH(A361,A16:A515,0)),"?"),"")</f>
        <v/>
      </c>
    </row>
    <row r="362" spans="1:4" ht="16.5" customHeight="1" x14ac:dyDescent="0.25">
      <c r="A362" s="16"/>
      <c r="B362" s="17"/>
      <c r="C362" s="18"/>
      <c r="D362" s="19" t="str">
        <f>IF(AND(A362&lt;&gt;"",COUNTIF(A16:A515,A362)&gt;1),"⚠️ JÁ PESADO! Peso: "&amp;TEXT(IFERROR(INDEX(B16:B515,MATCH(A362,A16:A515,0)),0),"#,##0.0")&amp;" kg  Lote: "&amp;IFERROR(INDEX(C16:C515,MATCH(A362,A16:A515,0)),"?"),"")</f>
        <v/>
      </c>
    </row>
    <row r="363" spans="1:4" ht="16.5" customHeight="1" x14ac:dyDescent="0.25">
      <c r="A363" s="20"/>
      <c r="B363" s="21"/>
      <c r="C363" s="22"/>
      <c r="D363" s="23" t="str">
        <f>IF(AND(A363&lt;&gt;"",COUNTIF(A16:A515,A363)&gt;1),"⚠️ JÁ PESADO! Peso: "&amp;TEXT(IFERROR(INDEX(B16:B515,MATCH(A363,A16:A515,0)),0),"#,##0.0")&amp;" kg  Lote: "&amp;IFERROR(INDEX(C16:C515,MATCH(A363,A16:A515,0)),"?"),"")</f>
        <v/>
      </c>
    </row>
    <row r="364" spans="1:4" ht="16.5" customHeight="1" x14ac:dyDescent="0.25">
      <c r="A364" s="16"/>
      <c r="B364" s="17"/>
      <c r="C364" s="18"/>
      <c r="D364" s="19" t="str">
        <f>IF(AND(A364&lt;&gt;"",COUNTIF(A16:A515,A364)&gt;1),"⚠️ JÁ PESADO! Peso: "&amp;TEXT(IFERROR(INDEX(B16:B515,MATCH(A364,A16:A515,0)),0),"#,##0.0")&amp;" kg  Lote: "&amp;IFERROR(INDEX(C16:C515,MATCH(A364,A16:A515,0)),"?"),"")</f>
        <v/>
      </c>
    </row>
    <row r="365" spans="1:4" ht="16.5" customHeight="1" x14ac:dyDescent="0.25">
      <c r="A365" s="20"/>
      <c r="B365" s="21"/>
      <c r="C365" s="22"/>
      <c r="D365" s="23" t="str">
        <f>IF(AND(A365&lt;&gt;"",COUNTIF(A16:A515,A365)&gt;1),"⚠️ JÁ PESADO! Peso: "&amp;TEXT(IFERROR(INDEX(B16:B515,MATCH(A365,A16:A515,0)),0),"#,##0.0")&amp;" kg  Lote: "&amp;IFERROR(INDEX(C16:C515,MATCH(A365,A16:A515,0)),"?"),"")</f>
        <v/>
      </c>
    </row>
    <row r="366" spans="1:4" ht="16.5" customHeight="1" x14ac:dyDescent="0.25">
      <c r="A366" s="16"/>
      <c r="B366" s="17"/>
      <c r="C366" s="18"/>
      <c r="D366" s="19" t="str">
        <f>IF(AND(A366&lt;&gt;"",COUNTIF(A16:A515,A366)&gt;1),"⚠️ JÁ PESADO! Peso: "&amp;TEXT(IFERROR(INDEX(B16:B515,MATCH(A366,A16:A515,0)),0),"#,##0.0")&amp;" kg  Lote: "&amp;IFERROR(INDEX(C16:C515,MATCH(A366,A16:A515,0)),"?"),"")</f>
        <v/>
      </c>
    </row>
    <row r="367" spans="1:4" ht="16.5" customHeight="1" x14ac:dyDescent="0.25">
      <c r="A367" s="20"/>
      <c r="B367" s="21"/>
      <c r="C367" s="22"/>
      <c r="D367" s="23" t="str">
        <f>IF(AND(A367&lt;&gt;"",COUNTIF(A16:A515,A367)&gt;1),"⚠️ JÁ PESADO! Peso: "&amp;TEXT(IFERROR(INDEX(B16:B515,MATCH(A367,A16:A515,0)),0),"#,##0.0")&amp;" kg  Lote: "&amp;IFERROR(INDEX(C16:C515,MATCH(A367,A16:A515,0)),"?"),"")</f>
        <v/>
      </c>
    </row>
    <row r="368" spans="1:4" ht="16.5" customHeight="1" x14ac:dyDescent="0.25">
      <c r="A368" s="16"/>
      <c r="B368" s="17"/>
      <c r="C368" s="18"/>
      <c r="D368" s="19" t="str">
        <f>IF(AND(A368&lt;&gt;"",COUNTIF(A16:A515,A368)&gt;1),"⚠️ JÁ PESADO! Peso: "&amp;TEXT(IFERROR(INDEX(B16:B515,MATCH(A368,A16:A515,0)),0),"#,##0.0")&amp;" kg  Lote: "&amp;IFERROR(INDEX(C16:C515,MATCH(A368,A16:A515,0)),"?"),"")</f>
        <v/>
      </c>
    </row>
    <row r="369" spans="1:4" ht="16.5" customHeight="1" x14ac:dyDescent="0.25">
      <c r="A369" s="20"/>
      <c r="B369" s="21"/>
      <c r="C369" s="22"/>
      <c r="D369" s="23" t="str">
        <f>IF(AND(A369&lt;&gt;"",COUNTIF(A16:A515,A369)&gt;1),"⚠️ JÁ PESADO! Peso: "&amp;TEXT(IFERROR(INDEX(B16:B515,MATCH(A369,A16:A515,0)),0),"#,##0.0")&amp;" kg  Lote: "&amp;IFERROR(INDEX(C16:C515,MATCH(A369,A16:A515,0)),"?"),"")</f>
        <v/>
      </c>
    </row>
    <row r="370" spans="1:4" ht="16.5" customHeight="1" x14ac:dyDescent="0.25">
      <c r="A370" s="16"/>
      <c r="B370" s="17"/>
      <c r="C370" s="18"/>
      <c r="D370" s="19" t="str">
        <f>IF(AND(A370&lt;&gt;"",COUNTIF(A16:A515,A370)&gt;1),"⚠️ JÁ PESADO! Peso: "&amp;TEXT(IFERROR(INDEX(B16:B515,MATCH(A370,A16:A515,0)),0),"#,##0.0")&amp;" kg  Lote: "&amp;IFERROR(INDEX(C16:C515,MATCH(A370,A16:A515,0)),"?"),"")</f>
        <v/>
      </c>
    </row>
    <row r="371" spans="1:4" ht="16.5" customHeight="1" x14ac:dyDescent="0.25">
      <c r="A371" s="20"/>
      <c r="B371" s="21"/>
      <c r="C371" s="22"/>
      <c r="D371" s="23" t="str">
        <f>IF(AND(A371&lt;&gt;"",COUNTIF(A16:A515,A371)&gt;1),"⚠️ JÁ PESADO! Peso: "&amp;TEXT(IFERROR(INDEX(B16:B515,MATCH(A371,A16:A515,0)),0),"#,##0.0")&amp;" kg  Lote: "&amp;IFERROR(INDEX(C16:C515,MATCH(A371,A16:A515,0)),"?"),"")</f>
        <v/>
      </c>
    </row>
    <row r="372" spans="1:4" ht="16.5" customHeight="1" x14ac:dyDescent="0.25">
      <c r="A372" s="16"/>
      <c r="B372" s="17"/>
      <c r="C372" s="18"/>
      <c r="D372" s="19" t="str">
        <f>IF(AND(A372&lt;&gt;"",COUNTIF(A16:A515,A372)&gt;1),"⚠️ JÁ PESADO! Peso: "&amp;TEXT(IFERROR(INDEX(B16:B515,MATCH(A372,A16:A515,0)),0),"#,##0.0")&amp;" kg  Lote: "&amp;IFERROR(INDEX(C16:C515,MATCH(A372,A16:A515,0)),"?"),"")</f>
        <v/>
      </c>
    </row>
    <row r="373" spans="1:4" ht="16.5" customHeight="1" x14ac:dyDescent="0.25">
      <c r="A373" s="20"/>
      <c r="B373" s="21"/>
      <c r="C373" s="22"/>
      <c r="D373" s="23" t="str">
        <f>IF(AND(A373&lt;&gt;"",COUNTIF(A16:A515,A373)&gt;1),"⚠️ JÁ PESADO! Peso: "&amp;TEXT(IFERROR(INDEX(B16:B515,MATCH(A373,A16:A515,0)),0),"#,##0.0")&amp;" kg  Lote: "&amp;IFERROR(INDEX(C16:C515,MATCH(A373,A16:A515,0)),"?"),"")</f>
        <v/>
      </c>
    </row>
    <row r="374" spans="1:4" ht="16.5" customHeight="1" x14ac:dyDescent="0.25">
      <c r="A374" s="16"/>
      <c r="B374" s="17"/>
      <c r="C374" s="18"/>
      <c r="D374" s="19" t="str">
        <f>IF(AND(A374&lt;&gt;"",COUNTIF(A16:A515,A374)&gt;1),"⚠️ JÁ PESADO! Peso: "&amp;TEXT(IFERROR(INDEX(B16:B515,MATCH(A374,A16:A515,0)),0),"#,##0.0")&amp;" kg  Lote: "&amp;IFERROR(INDEX(C16:C515,MATCH(A374,A16:A515,0)),"?"),"")</f>
        <v/>
      </c>
    </row>
    <row r="375" spans="1:4" ht="16.5" customHeight="1" x14ac:dyDescent="0.25">
      <c r="A375" s="20"/>
      <c r="B375" s="21"/>
      <c r="C375" s="22"/>
      <c r="D375" s="23" t="str">
        <f>IF(AND(A375&lt;&gt;"",COUNTIF(A16:A515,A375)&gt;1),"⚠️ JÁ PESADO! Peso: "&amp;TEXT(IFERROR(INDEX(B16:B515,MATCH(A375,A16:A515,0)),0),"#,##0.0")&amp;" kg  Lote: "&amp;IFERROR(INDEX(C16:C515,MATCH(A375,A16:A515,0)),"?"),"")</f>
        <v/>
      </c>
    </row>
    <row r="376" spans="1:4" ht="16.5" customHeight="1" x14ac:dyDescent="0.25">
      <c r="A376" s="16"/>
      <c r="B376" s="17"/>
      <c r="C376" s="18"/>
      <c r="D376" s="19" t="str">
        <f>IF(AND(A376&lt;&gt;"",COUNTIF(A16:A515,A376)&gt;1),"⚠️ JÁ PESADO! Peso: "&amp;TEXT(IFERROR(INDEX(B16:B515,MATCH(A376,A16:A515,0)),0),"#,##0.0")&amp;" kg  Lote: "&amp;IFERROR(INDEX(C16:C515,MATCH(A376,A16:A515,0)),"?"),"")</f>
        <v/>
      </c>
    </row>
    <row r="377" spans="1:4" ht="16.5" customHeight="1" x14ac:dyDescent="0.25">
      <c r="A377" s="20"/>
      <c r="B377" s="21"/>
      <c r="C377" s="22"/>
      <c r="D377" s="23" t="str">
        <f>IF(AND(A377&lt;&gt;"",COUNTIF(A16:A515,A377)&gt;1),"⚠️ JÁ PESADO! Peso: "&amp;TEXT(IFERROR(INDEX(B16:B515,MATCH(A377,A16:A515,0)),0),"#,##0.0")&amp;" kg  Lote: "&amp;IFERROR(INDEX(C16:C515,MATCH(A377,A16:A515,0)),"?"),"")</f>
        <v/>
      </c>
    </row>
    <row r="378" spans="1:4" ht="16.5" customHeight="1" x14ac:dyDescent="0.25">
      <c r="A378" s="16"/>
      <c r="B378" s="17"/>
      <c r="C378" s="18"/>
      <c r="D378" s="19" t="str">
        <f>IF(AND(A378&lt;&gt;"",COUNTIF(A16:A515,A378)&gt;1),"⚠️ JÁ PESADO! Peso: "&amp;TEXT(IFERROR(INDEX(B16:B515,MATCH(A378,A16:A515,0)),0),"#,##0.0")&amp;" kg  Lote: "&amp;IFERROR(INDEX(C16:C515,MATCH(A378,A16:A515,0)),"?"),"")</f>
        <v/>
      </c>
    </row>
    <row r="379" spans="1:4" ht="16.5" customHeight="1" x14ac:dyDescent="0.25">
      <c r="A379" s="20"/>
      <c r="B379" s="21"/>
      <c r="C379" s="22"/>
      <c r="D379" s="23" t="str">
        <f>IF(AND(A379&lt;&gt;"",COUNTIF(A16:A515,A379)&gt;1),"⚠️ JÁ PESADO! Peso: "&amp;TEXT(IFERROR(INDEX(B16:B515,MATCH(A379,A16:A515,0)),0),"#,##0.0")&amp;" kg  Lote: "&amp;IFERROR(INDEX(C16:C515,MATCH(A379,A16:A515,0)),"?"),"")</f>
        <v/>
      </c>
    </row>
    <row r="380" spans="1:4" ht="16.5" customHeight="1" x14ac:dyDescent="0.25">
      <c r="A380" s="16"/>
      <c r="B380" s="17"/>
      <c r="C380" s="18"/>
      <c r="D380" s="19" t="str">
        <f>IF(AND(A380&lt;&gt;"",COUNTIF(A16:A515,A380)&gt;1),"⚠️ JÁ PESADO! Peso: "&amp;TEXT(IFERROR(INDEX(B16:B515,MATCH(A380,A16:A515,0)),0),"#,##0.0")&amp;" kg  Lote: "&amp;IFERROR(INDEX(C16:C515,MATCH(A380,A16:A515,0)),"?"),"")</f>
        <v/>
      </c>
    </row>
    <row r="381" spans="1:4" ht="16.5" customHeight="1" x14ac:dyDescent="0.25">
      <c r="A381" s="20"/>
      <c r="B381" s="21"/>
      <c r="C381" s="22"/>
      <c r="D381" s="23" t="str">
        <f>IF(AND(A381&lt;&gt;"",COUNTIF(A16:A515,A381)&gt;1),"⚠️ JÁ PESADO! Peso: "&amp;TEXT(IFERROR(INDEX(B16:B515,MATCH(A381,A16:A515,0)),0),"#,##0.0")&amp;" kg  Lote: "&amp;IFERROR(INDEX(C16:C515,MATCH(A381,A16:A515,0)),"?"),"")</f>
        <v/>
      </c>
    </row>
    <row r="382" spans="1:4" ht="16.5" customHeight="1" x14ac:dyDescent="0.25">
      <c r="A382" s="16"/>
      <c r="B382" s="17"/>
      <c r="C382" s="18"/>
      <c r="D382" s="19" t="str">
        <f>IF(AND(A382&lt;&gt;"",COUNTIF(A16:A515,A382)&gt;1),"⚠️ JÁ PESADO! Peso: "&amp;TEXT(IFERROR(INDEX(B16:B515,MATCH(A382,A16:A515,0)),0),"#,##0.0")&amp;" kg  Lote: "&amp;IFERROR(INDEX(C16:C515,MATCH(A382,A16:A515,0)),"?"),"")</f>
        <v/>
      </c>
    </row>
    <row r="383" spans="1:4" ht="16.5" customHeight="1" x14ac:dyDescent="0.25">
      <c r="A383" s="20"/>
      <c r="B383" s="21"/>
      <c r="C383" s="22"/>
      <c r="D383" s="23" t="str">
        <f>IF(AND(A383&lt;&gt;"",COUNTIF(A16:A515,A383)&gt;1),"⚠️ JÁ PESADO! Peso: "&amp;TEXT(IFERROR(INDEX(B16:B515,MATCH(A383,A16:A515,0)),0),"#,##0.0")&amp;" kg  Lote: "&amp;IFERROR(INDEX(C16:C515,MATCH(A383,A16:A515,0)),"?"),"")</f>
        <v/>
      </c>
    </row>
    <row r="384" spans="1:4" ht="16.5" customHeight="1" x14ac:dyDescent="0.25">
      <c r="A384" s="16"/>
      <c r="B384" s="17"/>
      <c r="C384" s="18"/>
      <c r="D384" s="19" t="str">
        <f>IF(AND(A384&lt;&gt;"",COUNTIF(A16:A515,A384)&gt;1),"⚠️ JÁ PESADO! Peso: "&amp;TEXT(IFERROR(INDEX(B16:B515,MATCH(A384,A16:A515,0)),0),"#,##0.0")&amp;" kg  Lote: "&amp;IFERROR(INDEX(C16:C515,MATCH(A384,A16:A515,0)),"?"),"")</f>
        <v/>
      </c>
    </row>
    <row r="385" spans="1:4" ht="16.5" customHeight="1" x14ac:dyDescent="0.25">
      <c r="A385" s="20"/>
      <c r="B385" s="21"/>
      <c r="C385" s="22"/>
      <c r="D385" s="23" t="str">
        <f>IF(AND(A385&lt;&gt;"",COUNTIF(A16:A515,A385)&gt;1),"⚠️ JÁ PESADO! Peso: "&amp;TEXT(IFERROR(INDEX(B16:B515,MATCH(A385,A16:A515,0)),0),"#,##0.0")&amp;" kg  Lote: "&amp;IFERROR(INDEX(C16:C515,MATCH(A385,A16:A515,0)),"?"),"")</f>
        <v/>
      </c>
    </row>
    <row r="386" spans="1:4" ht="16.5" customHeight="1" x14ac:dyDescent="0.25">
      <c r="A386" s="16"/>
      <c r="B386" s="17"/>
      <c r="C386" s="18"/>
      <c r="D386" s="19" t="str">
        <f>IF(AND(A386&lt;&gt;"",COUNTIF(A16:A515,A386)&gt;1),"⚠️ JÁ PESADO! Peso: "&amp;TEXT(IFERROR(INDEX(B16:B515,MATCH(A386,A16:A515,0)),0),"#,##0.0")&amp;" kg  Lote: "&amp;IFERROR(INDEX(C16:C515,MATCH(A386,A16:A515,0)),"?"),"")</f>
        <v/>
      </c>
    </row>
    <row r="387" spans="1:4" ht="16.5" customHeight="1" x14ac:dyDescent="0.25">
      <c r="A387" s="20"/>
      <c r="B387" s="21"/>
      <c r="C387" s="22"/>
      <c r="D387" s="23" t="str">
        <f>IF(AND(A387&lt;&gt;"",COUNTIF(A16:A515,A387)&gt;1),"⚠️ JÁ PESADO! Peso: "&amp;TEXT(IFERROR(INDEX(B16:B515,MATCH(A387,A16:A515,0)),0),"#,##0.0")&amp;" kg  Lote: "&amp;IFERROR(INDEX(C16:C515,MATCH(A387,A16:A515,0)),"?"),"")</f>
        <v/>
      </c>
    </row>
    <row r="388" spans="1:4" ht="16.5" customHeight="1" x14ac:dyDescent="0.25">
      <c r="A388" s="16"/>
      <c r="B388" s="17"/>
      <c r="C388" s="18"/>
      <c r="D388" s="19" t="str">
        <f>IF(AND(A388&lt;&gt;"",COUNTIF(A16:A515,A388)&gt;1),"⚠️ JÁ PESADO! Peso: "&amp;TEXT(IFERROR(INDEX(B16:B515,MATCH(A388,A16:A515,0)),0),"#,##0.0")&amp;" kg  Lote: "&amp;IFERROR(INDEX(C16:C515,MATCH(A388,A16:A515,0)),"?"),"")</f>
        <v/>
      </c>
    </row>
    <row r="389" spans="1:4" ht="16.5" customHeight="1" x14ac:dyDescent="0.25">
      <c r="A389" s="20"/>
      <c r="B389" s="21"/>
      <c r="C389" s="22"/>
      <c r="D389" s="23" t="str">
        <f>IF(AND(A389&lt;&gt;"",COUNTIF(A16:A515,A389)&gt;1),"⚠️ JÁ PESADO! Peso: "&amp;TEXT(IFERROR(INDEX(B16:B515,MATCH(A389,A16:A515,0)),0),"#,##0.0")&amp;" kg  Lote: "&amp;IFERROR(INDEX(C16:C515,MATCH(A389,A16:A515,0)),"?"),"")</f>
        <v/>
      </c>
    </row>
    <row r="390" spans="1:4" ht="16.5" customHeight="1" x14ac:dyDescent="0.25">
      <c r="A390" s="16"/>
      <c r="B390" s="17"/>
      <c r="C390" s="18"/>
      <c r="D390" s="19" t="str">
        <f>IF(AND(A390&lt;&gt;"",COUNTIF(A16:A515,A390)&gt;1),"⚠️ JÁ PESADO! Peso: "&amp;TEXT(IFERROR(INDEX(B16:B515,MATCH(A390,A16:A515,0)),0),"#,##0.0")&amp;" kg  Lote: "&amp;IFERROR(INDEX(C16:C515,MATCH(A390,A16:A515,0)),"?"),"")</f>
        <v/>
      </c>
    </row>
    <row r="391" spans="1:4" ht="16.5" customHeight="1" x14ac:dyDescent="0.25">
      <c r="A391" s="20"/>
      <c r="B391" s="21"/>
      <c r="C391" s="22"/>
      <c r="D391" s="23" t="str">
        <f>IF(AND(A391&lt;&gt;"",COUNTIF(A16:A515,A391)&gt;1),"⚠️ JÁ PESADO! Peso: "&amp;TEXT(IFERROR(INDEX(B16:B515,MATCH(A391,A16:A515,0)),0),"#,##0.0")&amp;" kg  Lote: "&amp;IFERROR(INDEX(C16:C515,MATCH(A391,A16:A515,0)),"?"),"")</f>
        <v/>
      </c>
    </row>
    <row r="392" spans="1:4" ht="16.5" customHeight="1" x14ac:dyDescent="0.25">
      <c r="A392" s="16"/>
      <c r="B392" s="17"/>
      <c r="C392" s="18"/>
      <c r="D392" s="19" t="str">
        <f>IF(AND(A392&lt;&gt;"",COUNTIF(A16:A515,A392)&gt;1),"⚠️ JÁ PESADO! Peso: "&amp;TEXT(IFERROR(INDEX(B16:B515,MATCH(A392,A16:A515,0)),0),"#,##0.0")&amp;" kg  Lote: "&amp;IFERROR(INDEX(C16:C515,MATCH(A392,A16:A515,0)),"?"),"")</f>
        <v/>
      </c>
    </row>
    <row r="393" spans="1:4" ht="16.5" customHeight="1" x14ac:dyDescent="0.25">
      <c r="A393" s="20"/>
      <c r="B393" s="21"/>
      <c r="C393" s="22"/>
      <c r="D393" s="23" t="str">
        <f>IF(AND(A393&lt;&gt;"",COUNTIF(A16:A515,A393)&gt;1),"⚠️ JÁ PESADO! Peso: "&amp;TEXT(IFERROR(INDEX(B16:B515,MATCH(A393,A16:A515,0)),0),"#,##0.0")&amp;" kg  Lote: "&amp;IFERROR(INDEX(C16:C515,MATCH(A393,A16:A515,0)),"?"),"")</f>
        <v/>
      </c>
    </row>
    <row r="394" spans="1:4" ht="16.5" customHeight="1" x14ac:dyDescent="0.25">
      <c r="A394" s="16"/>
      <c r="B394" s="17"/>
      <c r="C394" s="18"/>
      <c r="D394" s="19" t="str">
        <f>IF(AND(A394&lt;&gt;"",COUNTIF(A16:A515,A394)&gt;1),"⚠️ JÁ PESADO! Peso: "&amp;TEXT(IFERROR(INDEX(B16:B515,MATCH(A394,A16:A515,0)),0),"#,##0.0")&amp;" kg  Lote: "&amp;IFERROR(INDEX(C16:C515,MATCH(A394,A16:A515,0)),"?"),"")</f>
        <v/>
      </c>
    </row>
    <row r="395" spans="1:4" ht="16.5" customHeight="1" x14ac:dyDescent="0.25">
      <c r="A395" s="20"/>
      <c r="B395" s="21"/>
      <c r="C395" s="22"/>
      <c r="D395" s="23" t="str">
        <f>IF(AND(A395&lt;&gt;"",COUNTIF(A16:A515,A395)&gt;1),"⚠️ JÁ PESADO! Peso: "&amp;TEXT(IFERROR(INDEX(B16:B515,MATCH(A395,A16:A515,0)),0),"#,##0.0")&amp;" kg  Lote: "&amp;IFERROR(INDEX(C16:C515,MATCH(A395,A16:A515,0)),"?"),"")</f>
        <v/>
      </c>
    </row>
    <row r="396" spans="1:4" ht="16.5" customHeight="1" x14ac:dyDescent="0.25">
      <c r="A396" s="16"/>
      <c r="B396" s="17"/>
      <c r="C396" s="18"/>
      <c r="D396" s="19" t="str">
        <f>IF(AND(A396&lt;&gt;"",COUNTIF(A16:A515,A396)&gt;1),"⚠️ JÁ PESADO! Peso: "&amp;TEXT(IFERROR(INDEX(B16:B515,MATCH(A396,A16:A515,0)),0),"#,##0.0")&amp;" kg  Lote: "&amp;IFERROR(INDEX(C16:C515,MATCH(A396,A16:A515,0)),"?"),"")</f>
        <v/>
      </c>
    </row>
    <row r="397" spans="1:4" ht="16.5" customHeight="1" x14ac:dyDescent="0.25">
      <c r="A397" s="20"/>
      <c r="B397" s="21"/>
      <c r="C397" s="22"/>
      <c r="D397" s="23" t="str">
        <f>IF(AND(A397&lt;&gt;"",COUNTIF(A16:A515,A397)&gt;1),"⚠️ JÁ PESADO! Peso: "&amp;TEXT(IFERROR(INDEX(B16:B515,MATCH(A397,A16:A515,0)),0),"#,##0.0")&amp;" kg  Lote: "&amp;IFERROR(INDEX(C16:C515,MATCH(A397,A16:A515,0)),"?"),"")</f>
        <v/>
      </c>
    </row>
    <row r="398" spans="1:4" ht="16.5" customHeight="1" x14ac:dyDescent="0.25">
      <c r="A398" s="16"/>
      <c r="B398" s="17"/>
      <c r="C398" s="18"/>
      <c r="D398" s="19" t="str">
        <f>IF(AND(A398&lt;&gt;"",COUNTIF(A16:A515,A398)&gt;1),"⚠️ JÁ PESADO! Peso: "&amp;TEXT(IFERROR(INDEX(B16:B515,MATCH(A398,A16:A515,0)),0),"#,##0.0")&amp;" kg  Lote: "&amp;IFERROR(INDEX(C16:C515,MATCH(A398,A16:A515,0)),"?"),"")</f>
        <v/>
      </c>
    </row>
    <row r="399" spans="1:4" ht="16.5" customHeight="1" x14ac:dyDescent="0.25">
      <c r="A399" s="20"/>
      <c r="B399" s="21"/>
      <c r="C399" s="22"/>
      <c r="D399" s="23" t="str">
        <f>IF(AND(A399&lt;&gt;"",COUNTIF(A16:A515,A399)&gt;1),"⚠️ JÁ PESADO! Peso: "&amp;TEXT(IFERROR(INDEX(B16:B515,MATCH(A399,A16:A515,0)),0),"#,##0.0")&amp;" kg  Lote: "&amp;IFERROR(INDEX(C16:C515,MATCH(A399,A16:A515,0)),"?"),"")</f>
        <v/>
      </c>
    </row>
    <row r="400" spans="1:4" ht="16.5" customHeight="1" x14ac:dyDescent="0.25">
      <c r="A400" s="16"/>
      <c r="B400" s="17"/>
      <c r="C400" s="18"/>
      <c r="D400" s="19" t="str">
        <f>IF(AND(A400&lt;&gt;"",COUNTIF(A16:A515,A400)&gt;1),"⚠️ JÁ PESADO! Peso: "&amp;TEXT(IFERROR(INDEX(B16:B515,MATCH(A400,A16:A515,0)),0),"#,##0.0")&amp;" kg  Lote: "&amp;IFERROR(INDEX(C16:C515,MATCH(A400,A16:A515,0)),"?"),"")</f>
        <v/>
      </c>
    </row>
    <row r="401" spans="1:4" ht="16.5" customHeight="1" x14ac:dyDescent="0.25">
      <c r="A401" s="20"/>
      <c r="B401" s="21"/>
      <c r="C401" s="22"/>
      <c r="D401" s="23" t="str">
        <f>IF(AND(A401&lt;&gt;"",COUNTIF(A16:A515,A401)&gt;1),"⚠️ JÁ PESADO! Peso: "&amp;TEXT(IFERROR(INDEX(B16:B515,MATCH(A401,A16:A515,0)),0),"#,##0.0")&amp;" kg  Lote: "&amp;IFERROR(INDEX(C16:C515,MATCH(A401,A16:A515,0)),"?"),"")</f>
        <v/>
      </c>
    </row>
    <row r="402" spans="1:4" ht="16.5" customHeight="1" x14ac:dyDescent="0.25">
      <c r="A402" s="16"/>
      <c r="B402" s="17"/>
      <c r="C402" s="18"/>
      <c r="D402" s="19" t="str">
        <f>IF(AND(A402&lt;&gt;"",COUNTIF(A16:A515,A402)&gt;1),"⚠️ JÁ PESADO! Peso: "&amp;TEXT(IFERROR(INDEX(B16:B515,MATCH(A402,A16:A515,0)),0),"#,##0.0")&amp;" kg  Lote: "&amp;IFERROR(INDEX(C16:C515,MATCH(A402,A16:A515,0)),"?"),"")</f>
        <v/>
      </c>
    </row>
    <row r="403" spans="1:4" ht="16.5" customHeight="1" x14ac:dyDescent="0.25">
      <c r="A403" s="20"/>
      <c r="B403" s="21"/>
      <c r="C403" s="22"/>
      <c r="D403" s="23" t="str">
        <f>IF(AND(A403&lt;&gt;"",COUNTIF(A16:A515,A403)&gt;1),"⚠️ JÁ PESADO! Peso: "&amp;TEXT(IFERROR(INDEX(B16:B515,MATCH(A403,A16:A515,0)),0),"#,##0.0")&amp;" kg  Lote: "&amp;IFERROR(INDEX(C16:C515,MATCH(A403,A16:A515,0)),"?"),"")</f>
        <v/>
      </c>
    </row>
    <row r="404" spans="1:4" ht="16.5" customHeight="1" x14ac:dyDescent="0.25">
      <c r="A404" s="16"/>
      <c r="B404" s="17"/>
      <c r="C404" s="18"/>
      <c r="D404" s="19" t="str">
        <f>IF(AND(A404&lt;&gt;"",COUNTIF(A16:A515,A404)&gt;1),"⚠️ JÁ PESADO! Peso: "&amp;TEXT(IFERROR(INDEX(B16:B515,MATCH(A404,A16:A515,0)),0),"#,##0.0")&amp;" kg  Lote: "&amp;IFERROR(INDEX(C16:C515,MATCH(A404,A16:A515,0)),"?"),"")</f>
        <v/>
      </c>
    </row>
    <row r="405" spans="1:4" ht="16.5" customHeight="1" x14ac:dyDescent="0.25">
      <c r="A405" s="20"/>
      <c r="B405" s="21"/>
      <c r="C405" s="22"/>
      <c r="D405" s="23" t="str">
        <f>IF(AND(A405&lt;&gt;"",COUNTIF(A16:A515,A405)&gt;1),"⚠️ JÁ PESADO! Peso: "&amp;TEXT(IFERROR(INDEX(B16:B515,MATCH(A405,A16:A515,0)),0),"#,##0.0")&amp;" kg  Lote: "&amp;IFERROR(INDEX(C16:C515,MATCH(A405,A16:A515,0)),"?"),"")</f>
        <v/>
      </c>
    </row>
    <row r="406" spans="1:4" ht="16.5" customHeight="1" x14ac:dyDescent="0.25">
      <c r="A406" s="16"/>
      <c r="B406" s="17"/>
      <c r="C406" s="18"/>
      <c r="D406" s="19" t="str">
        <f>IF(AND(A406&lt;&gt;"",COUNTIF(A16:A515,A406)&gt;1),"⚠️ JÁ PESADO! Peso: "&amp;TEXT(IFERROR(INDEX(B16:B515,MATCH(A406,A16:A515,0)),0),"#,##0.0")&amp;" kg  Lote: "&amp;IFERROR(INDEX(C16:C515,MATCH(A406,A16:A515,0)),"?"),"")</f>
        <v/>
      </c>
    </row>
    <row r="407" spans="1:4" ht="16.5" customHeight="1" x14ac:dyDescent="0.25">
      <c r="A407" s="20"/>
      <c r="B407" s="21"/>
      <c r="C407" s="22"/>
      <c r="D407" s="23" t="str">
        <f>IF(AND(A407&lt;&gt;"",COUNTIF(A16:A515,A407)&gt;1),"⚠️ JÁ PESADO! Peso: "&amp;TEXT(IFERROR(INDEX(B16:B515,MATCH(A407,A16:A515,0)),0),"#,##0.0")&amp;" kg  Lote: "&amp;IFERROR(INDEX(C16:C515,MATCH(A407,A16:A515,0)),"?"),"")</f>
        <v/>
      </c>
    </row>
    <row r="408" spans="1:4" ht="16.5" customHeight="1" x14ac:dyDescent="0.25">
      <c r="A408" s="16"/>
      <c r="B408" s="17"/>
      <c r="C408" s="18"/>
      <c r="D408" s="19" t="str">
        <f>IF(AND(A408&lt;&gt;"",COUNTIF(A16:A515,A408)&gt;1),"⚠️ JÁ PESADO! Peso: "&amp;TEXT(IFERROR(INDEX(B16:B515,MATCH(A408,A16:A515,0)),0),"#,##0.0")&amp;" kg  Lote: "&amp;IFERROR(INDEX(C16:C515,MATCH(A408,A16:A515,0)),"?"),"")</f>
        <v/>
      </c>
    </row>
    <row r="409" spans="1:4" ht="16.5" customHeight="1" x14ac:dyDescent="0.25">
      <c r="A409" s="20"/>
      <c r="B409" s="21"/>
      <c r="C409" s="22"/>
      <c r="D409" s="23" t="str">
        <f>IF(AND(A409&lt;&gt;"",COUNTIF(A16:A515,A409)&gt;1),"⚠️ JÁ PESADO! Peso: "&amp;TEXT(IFERROR(INDEX(B16:B515,MATCH(A409,A16:A515,0)),0),"#,##0.0")&amp;" kg  Lote: "&amp;IFERROR(INDEX(C16:C515,MATCH(A409,A16:A515,0)),"?"),"")</f>
        <v/>
      </c>
    </row>
    <row r="410" spans="1:4" ht="16.5" customHeight="1" x14ac:dyDescent="0.25">
      <c r="A410" s="16"/>
      <c r="B410" s="17"/>
      <c r="C410" s="18"/>
      <c r="D410" s="19" t="str">
        <f>IF(AND(A410&lt;&gt;"",COUNTIF(A16:A515,A410)&gt;1),"⚠️ JÁ PESADO! Peso: "&amp;TEXT(IFERROR(INDEX(B16:B515,MATCH(A410,A16:A515,0)),0),"#,##0.0")&amp;" kg  Lote: "&amp;IFERROR(INDEX(C16:C515,MATCH(A410,A16:A515,0)),"?"),"")</f>
        <v/>
      </c>
    </row>
    <row r="411" spans="1:4" ht="16.5" customHeight="1" x14ac:dyDescent="0.25">
      <c r="A411" s="20"/>
      <c r="B411" s="21"/>
      <c r="C411" s="22"/>
      <c r="D411" s="23" t="str">
        <f>IF(AND(A411&lt;&gt;"",COUNTIF(A16:A515,A411)&gt;1),"⚠️ JÁ PESADO! Peso: "&amp;TEXT(IFERROR(INDEX(B16:B515,MATCH(A411,A16:A515,0)),0),"#,##0.0")&amp;" kg  Lote: "&amp;IFERROR(INDEX(C16:C515,MATCH(A411,A16:A515,0)),"?"),"")</f>
        <v/>
      </c>
    </row>
    <row r="412" spans="1:4" ht="16.5" customHeight="1" x14ac:dyDescent="0.25">
      <c r="A412" s="16"/>
      <c r="B412" s="17"/>
      <c r="C412" s="18"/>
      <c r="D412" s="19" t="str">
        <f>IF(AND(A412&lt;&gt;"",COUNTIF(A16:A515,A412)&gt;1),"⚠️ JÁ PESADO! Peso: "&amp;TEXT(IFERROR(INDEX(B16:B515,MATCH(A412,A16:A515,0)),0),"#,##0.0")&amp;" kg  Lote: "&amp;IFERROR(INDEX(C16:C515,MATCH(A412,A16:A515,0)),"?"),"")</f>
        <v/>
      </c>
    </row>
    <row r="413" spans="1:4" ht="16.5" customHeight="1" x14ac:dyDescent="0.25">
      <c r="A413" s="20"/>
      <c r="B413" s="21"/>
      <c r="C413" s="22"/>
      <c r="D413" s="23" t="str">
        <f>IF(AND(A413&lt;&gt;"",COUNTIF(A16:A515,A413)&gt;1),"⚠️ JÁ PESADO! Peso: "&amp;TEXT(IFERROR(INDEX(B16:B515,MATCH(A413,A16:A515,0)),0),"#,##0.0")&amp;" kg  Lote: "&amp;IFERROR(INDEX(C16:C515,MATCH(A413,A16:A515,0)),"?"),"")</f>
        <v/>
      </c>
    </row>
    <row r="414" spans="1:4" ht="16.5" customHeight="1" x14ac:dyDescent="0.25">
      <c r="A414" s="16"/>
      <c r="B414" s="17"/>
      <c r="C414" s="18"/>
      <c r="D414" s="19" t="str">
        <f>IF(AND(A414&lt;&gt;"",COUNTIF(A16:A515,A414)&gt;1),"⚠️ JÁ PESADO! Peso: "&amp;TEXT(IFERROR(INDEX(B16:B515,MATCH(A414,A16:A515,0)),0),"#,##0.0")&amp;" kg  Lote: "&amp;IFERROR(INDEX(C16:C515,MATCH(A414,A16:A515,0)),"?"),"")</f>
        <v/>
      </c>
    </row>
    <row r="415" spans="1:4" ht="16.5" customHeight="1" x14ac:dyDescent="0.25">
      <c r="A415" s="20"/>
      <c r="B415" s="21"/>
      <c r="C415" s="22"/>
      <c r="D415" s="23" t="str">
        <f>IF(AND(A415&lt;&gt;"",COUNTIF(A16:A515,A415)&gt;1),"⚠️ JÁ PESADO! Peso: "&amp;TEXT(IFERROR(INDEX(B16:B515,MATCH(A415,A16:A515,0)),0),"#,##0.0")&amp;" kg  Lote: "&amp;IFERROR(INDEX(C16:C515,MATCH(A415,A16:A515,0)),"?"),"")</f>
        <v/>
      </c>
    </row>
    <row r="416" spans="1:4" ht="16.5" customHeight="1" x14ac:dyDescent="0.25">
      <c r="A416" s="16"/>
      <c r="B416" s="17"/>
      <c r="C416" s="18"/>
      <c r="D416" s="19" t="str">
        <f>IF(AND(A416&lt;&gt;"",COUNTIF(A16:A515,A416)&gt;1),"⚠️ JÁ PESADO! Peso: "&amp;TEXT(IFERROR(INDEX(B16:B515,MATCH(A416,A16:A515,0)),0),"#,##0.0")&amp;" kg  Lote: "&amp;IFERROR(INDEX(C16:C515,MATCH(A416,A16:A515,0)),"?"),"")</f>
        <v/>
      </c>
    </row>
    <row r="417" spans="1:4" ht="16.5" customHeight="1" x14ac:dyDescent="0.25">
      <c r="A417" s="20"/>
      <c r="B417" s="21"/>
      <c r="C417" s="22"/>
      <c r="D417" s="23" t="str">
        <f>IF(AND(A417&lt;&gt;"",COUNTIF(A16:A515,A417)&gt;1),"⚠️ JÁ PESADO! Peso: "&amp;TEXT(IFERROR(INDEX(B16:B515,MATCH(A417,A16:A515,0)),0),"#,##0.0")&amp;" kg  Lote: "&amp;IFERROR(INDEX(C16:C515,MATCH(A417,A16:A515,0)),"?"),"")</f>
        <v/>
      </c>
    </row>
    <row r="418" spans="1:4" ht="16.5" customHeight="1" x14ac:dyDescent="0.25">
      <c r="A418" s="16"/>
      <c r="B418" s="17"/>
      <c r="C418" s="18"/>
      <c r="D418" s="19" t="str">
        <f>IF(AND(A418&lt;&gt;"",COUNTIF(A16:A515,A418)&gt;1),"⚠️ JÁ PESADO! Peso: "&amp;TEXT(IFERROR(INDEX(B16:B515,MATCH(A418,A16:A515,0)),0),"#,##0.0")&amp;" kg  Lote: "&amp;IFERROR(INDEX(C16:C515,MATCH(A418,A16:A515,0)),"?"),"")</f>
        <v/>
      </c>
    </row>
    <row r="419" spans="1:4" ht="16.5" customHeight="1" x14ac:dyDescent="0.25">
      <c r="A419" s="20"/>
      <c r="B419" s="21"/>
      <c r="C419" s="22"/>
      <c r="D419" s="23" t="str">
        <f>IF(AND(A419&lt;&gt;"",COUNTIF(A16:A515,A419)&gt;1),"⚠️ JÁ PESADO! Peso: "&amp;TEXT(IFERROR(INDEX(B16:B515,MATCH(A419,A16:A515,0)),0),"#,##0.0")&amp;" kg  Lote: "&amp;IFERROR(INDEX(C16:C515,MATCH(A419,A16:A515,0)),"?"),"")</f>
        <v/>
      </c>
    </row>
    <row r="420" spans="1:4" ht="16.5" customHeight="1" x14ac:dyDescent="0.25">
      <c r="A420" s="16"/>
      <c r="B420" s="17"/>
      <c r="C420" s="18"/>
      <c r="D420" s="19" t="str">
        <f>IF(AND(A420&lt;&gt;"",COUNTIF(A16:A515,A420)&gt;1),"⚠️ JÁ PESADO! Peso: "&amp;TEXT(IFERROR(INDEX(B16:B515,MATCH(A420,A16:A515,0)),0),"#,##0.0")&amp;" kg  Lote: "&amp;IFERROR(INDEX(C16:C515,MATCH(A420,A16:A515,0)),"?"),"")</f>
        <v/>
      </c>
    </row>
    <row r="421" spans="1:4" ht="16.5" customHeight="1" x14ac:dyDescent="0.25">
      <c r="A421" s="20"/>
      <c r="B421" s="21"/>
      <c r="C421" s="22"/>
      <c r="D421" s="23" t="str">
        <f>IF(AND(A421&lt;&gt;"",COUNTIF(A16:A515,A421)&gt;1),"⚠️ JÁ PESADO! Peso: "&amp;TEXT(IFERROR(INDEX(B16:B515,MATCH(A421,A16:A515,0)),0),"#,##0.0")&amp;" kg  Lote: "&amp;IFERROR(INDEX(C16:C515,MATCH(A421,A16:A515,0)),"?"),"")</f>
        <v/>
      </c>
    </row>
    <row r="422" spans="1:4" ht="16.5" customHeight="1" x14ac:dyDescent="0.25">
      <c r="A422" s="16"/>
      <c r="B422" s="17"/>
      <c r="C422" s="18"/>
      <c r="D422" s="19" t="str">
        <f>IF(AND(A422&lt;&gt;"",COUNTIF(A16:A515,A422)&gt;1),"⚠️ JÁ PESADO! Peso: "&amp;TEXT(IFERROR(INDEX(B16:B515,MATCH(A422,A16:A515,0)),0),"#,##0.0")&amp;" kg  Lote: "&amp;IFERROR(INDEX(C16:C515,MATCH(A422,A16:A515,0)),"?"),"")</f>
        <v/>
      </c>
    </row>
    <row r="423" spans="1:4" ht="16.5" customHeight="1" x14ac:dyDescent="0.25">
      <c r="A423" s="20"/>
      <c r="B423" s="21"/>
      <c r="C423" s="22"/>
      <c r="D423" s="23" t="str">
        <f>IF(AND(A423&lt;&gt;"",COUNTIF(A16:A515,A423)&gt;1),"⚠️ JÁ PESADO! Peso: "&amp;TEXT(IFERROR(INDEX(B16:B515,MATCH(A423,A16:A515,0)),0),"#,##0.0")&amp;" kg  Lote: "&amp;IFERROR(INDEX(C16:C515,MATCH(A423,A16:A515,0)),"?"),"")</f>
        <v/>
      </c>
    </row>
    <row r="424" spans="1:4" ht="16.5" customHeight="1" x14ac:dyDescent="0.25">
      <c r="A424" s="16"/>
      <c r="B424" s="17"/>
      <c r="C424" s="18"/>
      <c r="D424" s="19" t="str">
        <f>IF(AND(A424&lt;&gt;"",COUNTIF(A16:A515,A424)&gt;1),"⚠️ JÁ PESADO! Peso: "&amp;TEXT(IFERROR(INDEX(B16:B515,MATCH(A424,A16:A515,0)),0),"#,##0.0")&amp;" kg  Lote: "&amp;IFERROR(INDEX(C16:C515,MATCH(A424,A16:A515,0)),"?"),"")</f>
        <v/>
      </c>
    </row>
    <row r="425" spans="1:4" ht="16.5" customHeight="1" x14ac:dyDescent="0.25">
      <c r="A425" s="20"/>
      <c r="B425" s="21"/>
      <c r="C425" s="22"/>
      <c r="D425" s="23" t="str">
        <f>IF(AND(A425&lt;&gt;"",COUNTIF(A16:A515,A425)&gt;1),"⚠️ JÁ PESADO! Peso: "&amp;TEXT(IFERROR(INDEX(B16:B515,MATCH(A425,A16:A515,0)),0),"#,##0.0")&amp;" kg  Lote: "&amp;IFERROR(INDEX(C16:C515,MATCH(A425,A16:A515,0)),"?"),"")</f>
        <v/>
      </c>
    </row>
    <row r="426" spans="1:4" ht="16.5" customHeight="1" x14ac:dyDescent="0.25">
      <c r="A426" s="16"/>
      <c r="B426" s="17"/>
      <c r="C426" s="18"/>
      <c r="D426" s="19" t="str">
        <f>IF(AND(A426&lt;&gt;"",COUNTIF(A16:A515,A426)&gt;1),"⚠️ JÁ PESADO! Peso: "&amp;TEXT(IFERROR(INDEX(B16:B515,MATCH(A426,A16:A515,0)),0),"#,##0.0")&amp;" kg  Lote: "&amp;IFERROR(INDEX(C16:C515,MATCH(A426,A16:A515,0)),"?"),"")</f>
        <v/>
      </c>
    </row>
    <row r="427" spans="1:4" ht="16.5" customHeight="1" x14ac:dyDescent="0.25">
      <c r="A427" s="20"/>
      <c r="B427" s="21"/>
      <c r="C427" s="22"/>
      <c r="D427" s="23" t="str">
        <f>IF(AND(A427&lt;&gt;"",COUNTIF(A16:A515,A427)&gt;1),"⚠️ JÁ PESADO! Peso: "&amp;TEXT(IFERROR(INDEX(B16:B515,MATCH(A427,A16:A515,0)),0),"#,##0.0")&amp;" kg  Lote: "&amp;IFERROR(INDEX(C16:C515,MATCH(A427,A16:A515,0)),"?"),"")</f>
        <v/>
      </c>
    </row>
    <row r="428" spans="1:4" ht="16.5" customHeight="1" x14ac:dyDescent="0.25">
      <c r="A428" s="16"/>
      <c r="B428" s="17"/>
      <c r="C428" s="18"/>
      <c r="D428" s="19" t="str">
        <f>IF(AND(A428&lt;&gt;"",COUNTIF(A16:A515,A428)&gt;1),"⚠️ JÁ PESADO! Peso: "&amp;TEXT(IFERROR(INDEX(B16:B515,MATCH(A428,A16:A515,0)),0),"#,##0.0")&amp;" kg  Lote: "&amp;IFERROR(INDEX(C16:C515,MATCH(A428,A16:A515,0)),"?"),"")</f>
        <v/>
      </c>
    </row>
    <row r="429" spans="1:4" ht="16.5" customHeight="1" x14ac:dyDescent="0.25">
      <c r="A429" s="20"/>
      <c r="B429" s="21"/>
      <c r="C429" s="22"/>
      <c r="D429" s="23" t="str">
        <f>IF(AND(A429&lt;&gt;"",COUNTIF(A16:A515,A429)&gt;1),"⚠️ JÁ PESADO! Peso: "&amp;TEXT(IFERROR(INDEX(B16:B515,MATCH(A429,A16:A515,0)),0),"#,##0.0")&amp;" kg  Lote: "&amp;IFERROR(INDEX(C16:C515,MATCH(A429,A16:A515,0)),"?"),"")</f>
        <v/>
      </c>
    </row>
    <row r="430" spans="1:4" ht="16.5" customHeight="1" x14ac:dyDescent="0.25">
      <c r="A430" s="16"/>
      <c r="B430" s="17"/>
      <c r="C430" s="18"/>
      <c r="D430" s="19" t="str">
        <f>IF(AND(A430&lt;&gt;"",COUNTIF(A16:A515,A430)&gt;1),"⚠️ JÁ PESADO! Peso: "&amp;TEXT(IFERROR(INDEX(B16:B515,MATCH(A430,A16:A515,0)),0),"#,##0.0")&amp;" kg  Lote: "&amp;IFERROR(INDEX(C16:C515,MATCH(A430,A16:A515,0)),"?"),"")</f>
        <v/>
      </c>
    </row>
    <row r="431" spans="1:4" ht="16.5" customHeight="1" x14ac:dyDescent="0.25">
      <c r="A431" s="20"/>
      <c r="B431" s="21"/>
      <c r="C431" s="22"/>
      <c r="D431" s="23" t="str">
        <f>IF(AND(A431&lt;&gt;"",COUNTIF(A16:A515,A431)&gt;1),"⚠️ JÁ PESADO! Peso: "&amp;TEXT(IFERROR(INDEX(B16:B515,MATCH(A431,A16:A515,0)),0),"#,##0.0")&amp;" kg  Lote: "&amp;IFERROR(INDEX(C16:C515,MATCH(A431,A16:A515,0)),"?"),"")</f>
        <v/>
      </c>
    </row>
    <row r="432" spans="1:4" ht="16.5" customHeight="1" x14ac:dyDescent="0.25">
      <c r="A432" s="16"/>
      <c r="B432" s="17"/>
      <c r="C432" s="18"/>
      <c r="D432" s="19" t="str">
        <f>IF(AND(A432&lt;&gt;"",COUNTIF(A16:A515,A432)&gt;1),"⚠️ JÁ PESADO! Peso: "&amp;TEXT(IFERROR(INDEX(B16:B515,MATCH(A432,A16:A515,0)),0),"#,##0.0")&amp;" kg  Lote: "&amp;IFERROR(INDEX(C16:C515,MATCH(A432,A16:A515,0)),"?"),"")</f>
        <v/>
      </c>
    </row>
    <row r="433" spans="1:4" ht="16.5" customHeight="1" x14ac:dyDescent="0.25">
      <c r="A433" s="20"/>
      <c r="B433" s="21"/>
      <c r="C433" s="22"/>
      <c r="D433" s="23" t="str">
        <f>IF(AND(A433&lt;&gt;"",COUNTIF(A16:A515,A433)&gt;1),"⚠️ JÁ PESADO! Peso: "&amp;TEXT(IFERROR(INDEX(B16:B515,MATCH(A433,A16:A515,0)),0),"#,##0.0")&amp;" kg  Lote: "&amp;IFERROR(INDEX(C16:C515,MATCH(A433,A16:A515,0)),"?"),"")</f>
        <v/>
      </c>
    </row>
    <row r="434" spans="1:4" ht="16.5" customHeight="1" x14ac:dyDescent="0.25">
      <c r="A434" s="16"/>
      <c r="B434" s="17"/>
      <c r="C434" s="18"/>
      <c r="D434" s="19" t="str">
        <f>IF(AND(A434&lt;&gt;"",COUNTIF(A16:A515,A434)&gt;1),"⚠️ JÁ PESADO! Peso: "&amp;TEXT(IFERROR(INDEX(B16:B515,MATCH(A434,A16:A515,0)),0),"#,##0.0")&amp;" kg  Lote: "&amp;IFERROR(INDEX(C16:C515,MATCH(A434,A16:A515,0)),"?"),"")</f>
        <v/>
      </c>
    </row>
    <row r="435" spans="1:4" ht="16.5" customHeight="1" x14ac:dyDescent="0.25">
      <c r="A435" s="20"/>
      <c r="B435" s="21"/>
      <c r="C435" s="22"/>
      <c r="D435" s="23" t="str">
        <f>IF(AND(A435&lt;&gt;"",COUNTIF(A16:A515,A435)&gt;1),"⚠️ JÁ PESADO! Peso: "&amp;TEXT(IFERROR(INDEX(B16:B515,MATCH(A435,A16:A515,0)),0),"#,##0.0")&amp;" kg  Lote: "&amp;IFERROR(INDEX(C16:C515,MATCH(A435,A16:A515,0)),"?"),"")</f>
        <v/>
      </c>
    </row>
    <row r="436" spans="1:4" ht="16.5" customHeight="1" x14ac:dyDescent="0.25">
      <c r="A436" s="16"/>
      <c r="B436" s="17"/>
      <c r="C436" s="18"/>
      <c r="D436" s="19" t="str">
        <f>IF(AND(A436&lt;&gt;"",COUNTIF(A16:A515,A436)&gt;1),"⚠️ JÁ PESADO! Peso: "&amp;TEXT(IFERROR(INDEX(B16:B515,MATCH(A436,A16:A515,0)),0),"#,##0.0")&amp;" kg  Lote: "&amp;IFERROR(INDEX(C16:C515,MATCH(A436,A16:A515,0)),"?"),"")</f>
        <v/>
      </c>
    </row>
    <row r="437" spans="1:4" ht="16.5" customHeight="1" x14ac:dyDescent="0.25">
      <c r="A437" s="20"/>
      <c r="B437" s="21"/>
      <c r="C437" s="22"/>
      <c r="D437" s="23" t="str">
        <f>IF(AND(A437&lt;&gt;"",COUNTIF(A16:A515,A437)&gt;1),"⚠️ JÁ PESADO! Peso: "&amp;TEXT(IFERROR(INDEX(B16:B515,MATCH(A437,A16:A515,0)),0),"#,##0.0")&amp;" kg  Lote: "&amp;IFERROR(INDEX(C16:C515,MATCH(A437,A16:A515,0)),"?"),"")</f>
        <v/>
      </c>
    </row>
    <row r="438" spans="1:4" ht="16.5" customHeight="1" x14ac:dyDescent="0.25">
      <c r="A438" s="16"/>
      <c r="B438" s="17"/>
      <c r="C438" s="18"/>
      <c r="D438" s="19" t="str">
        <f>IF(AND(A438&lt;&gt;"",COUNTIF(A16:A515,A438)&gt;1),"⚠️ JÁ PESADO! Peso: "&amp;TEXT(IFERROR(INDEX(B16:B515,MATCH(A438,A16:A515,0)),0),"#,##0.0")&amp;" kg  Lote: "&amp;IFERROR(INDEX(C16:C515,MATCH(A438,A16:A515,0)),"?"),"")</f>
        <v/>
      </c>
    </row>
    <row r="439" spans="1:4" ht="16.5" customHeight="1" x14ac:dyDescent="0.25">
      <c r="A439" s="20"/>
      <c r="B439" s="21"/>
      <c r="C439" s="22"/>
      <c r="D439" s="23" t="str">
        <f>IF(AND(A439&lt;&gt;"",COUNTIF(A16:A515,A439)&gt;1),"⚠️ JÁ PESADO! Peso: "&amp;TEXT(IFERROR(INDEX(B16:B515,MATCH(A439,A16:A515,0)),0),"#,##0.0")&amp;" kg  Lote: "&amp;IFERROR(INDEX(C16:C515,MATCH(A439,A16:A515,0)),"?"),"")</f>
        <v/>
      </c>
    </row>
    <row r="440" spans="1:4" ht="16.5" customHeight="1" x14ac:dyDescent="0.25">
      <c r="A440" s="16"/>
      <c r="B440" s="17"/>
      <c r="C440" s="18"/>
      <c r="D440" s="19" t="str">
        <f>IF(AND(A440&lt;&gt;"",COUNTIF(A16:A515,A440)&gt;1),"⚠️ JÁ PESADO! Peso: "&amp;TEXT(IFERROR(INDEX(B16:B515,MATCH(A440,A16:A515,0)),0),"#,##0.0")&amp;" kg  Lote: "&amp;IFERROR(INDEX(C16:C515,MATCH(A440,A16:A515,0)),"?"),"")</f>
        <v/>
      </c>
    </row>
    <row r="441" spans="1:4" ht="16.5" customHeight="1" x14ac:dyDescent="0.25">
      <c r="A441" s="20"/>
      <c r="B441" s="21"/>
      <c r="C441" s="22"/>
      <c r="D441" s="23" t="str">
        <f>IF(AND(A441&lt;&gt;"",COUNTIF(A16:A515,A441)&gt;1),"⚠️ JÁ PESADO! Peso: "&amp;TEXT(IFERROR(INDEX(B16:B515,MATCH(A441,A16:A515,0)),0),"#,##0.0")&amp;" kg  Lote: "&amp;IFERROR(INDEX(C16:C515,MATCH(A441,A16:A515,0)),"?"),"")</f>
        <v/>
      </c>
    </row>
    <row r="442" spans="1:4" ht="16.5" customHeight="1" x14ac:dyDescent="0.25">
      <c r="A442" s="16"/>
      <c r="B442" s="17"/>
      <c r="C442" s="18"/>
      <c r="D442" s="19" t="str">
        <f>IF(AND(A442&lt;&gt;"",COUNTIF(A16:A515,A442)&gt;1),"⚠️ JÁ PESADO! Peso: "&amp;TEXT(IFERROR(INDEX(B16:B515,MATCH(A442,A16:A515,0)),0),"#,##0.0")&amp;" kg  Lote: "&amp;IFERROR(INDEX(C16:C515,MATCH(A442,A16:A515,0)),"?"),"")</f>
        <v/>
      </c>
    </row>
    <row r="443" spans="1:4" ht="16.5" customHeight="1" x14ac:dyDescent="0.25">
      <c r="A443" s="20"/>
      <c r="B443" s="21"/>
      <c r="C443" s="22"/>
      <c r="D443" s="23" t="str">
        <f>IF(AND(A443&lt;&gt;"",COUNTIF(A16:A515,A443)&gt;1),"⚠️ JÁ PESADO! Peso: "&amp;TEXT(IFERROR(INDEX(B16:B515,MATCH(A443,A16:A515,0)),0),"#,##0.0")&amp;" kg  Lote: "&amp;IFERROR(INDEX(C16:C515,MATCH(A443,A16:A515,0)),"?"),"")</f>
        <v/>
      </c>
    </row>
    <row r="444" spans="1:4" ht="16.5" customHeight="1" x14ac:dyDescent="0.25">
      <c r="A444" s="16"/>
      <c r="B444" s="17"/>
      <c r="C444" s="18"/>
      <c r="D444" s="19" t="str">
        <f>IF(AND(A444&lt;&gt;"",COUNTIF(A16:A515,A444)&gt;1),"⚠️ JÁ PESADO! Peso: "&amp;TEXT(IFERROR(INDEX(B16:B515,MATCH(A444,A16:A515,0)),0),"#,##0.0")&amp;" kg  Lote: "&amp;IFERROR(INDEX(C16:C515,MATCH(A444,A16:A515,0)),"?"),"")</f>
        <v/>
      </c>
    </row>
    <row r="445" spans="1:4" ht="16.5" customHeight="1" x14ac:dyDescent="0.25">
      <c r="A445" s="20"/>
      <c r="B445" s="21"/>
      <c r="C445" s="22"/>
      <c r="D445" s="23" t="str">
        <f>IF(AND(A445&lt;&gt;"",COUNTIF(A16:A515,A445)&gt;1),"⚠️ JÁ PESADO! Peso: "&amp;TEXT(IFERROR(INDEX(B16:B515,MATCH(A445,A16:A515,0)),0),"#,##0.0")&amp;" kg  Lote: "&amp;IFERROR(INDEX(C16:C515,MATCH(A445,A16:A515,0)),"?"),"")</f>
        <v/>
      </c>
    </row>
    <row r="446" spans="1:4" ht="16.5" customHeight="1" x14ac:dyDescent="0.25">
      <c r="A446" s="16"/>
      <c r="B446" s="17"/>
      <c r="C446" s="18"/>
      <c r="D446" s="19" t="str">
        <f>IF(AND(A446&lt;&gt;"",COUNTIF(A16:A515,A446)&gt;1),"⚠️ JÁ PESADO! Peso: "&amp;TEXT(IFERROR(INDEX(B16:B515,MATCH(A446,A16:A515,0)),0),"#,##0.0")&amp;" kg  Lote: "&amp;IFERROR(INDEX(C16:C515,MATCH(A446,A16:A515,0)),"?"),"")</f>
        <v/>
      </c>
    </row>
    <row r="447" spans="1:4" ht="16.5" customHeight="1" x14ac:dyDescent="0.25">
      <c r="A447" s="20"/>
      <c r="B447" s="21"/>
      <c r="C447" s="22"/>
      <c r="D447" s="23" t="str">
        <f>IF(AND(A447&lt;&gt;"",COUNTIF(A16:A515,A447)&gt;1),"⚠️ JÁ PESADO! Peso: "&amp;TEXT(IFERROR(INDEX(B16:B515,MATCH(A447,A16:A515,0)),0),"#,##0.0")&amp;" kg  Lote: "&amp;IFERROR(INDEX(C16:C515,MATCH(A447,A16:A515,0)),"?"),"")</f>
        <v/>
      </c>
    </row>
    <row r="448" spans="1:4" ht="16.5" customHeight="1" x14ac:dyDescent="0.25">
      <c r="A448" s="16"/>
      <c r="B448" s="17"/>
      <c r="C448" s="18"/>
      <c r="D448" s="19" t="str">
        <f>IF(AND(A448&lt;&gt;"",COUNTIF(A16:A515,A448)&gt;1),"⚠️ JÁ PESADO! Peso: "&amp;TEXT(IFERROR(INDEX(B16:B515,MATCH(A448,A16:A515,0)),0),"#,##0.0")&amp;" kg  Lote: "&amp;IFERROR(INDEX(C16:C515,MATCH(A448,A16:A515,0)),"?"),"")</f>
        <v/>
      </c>
    </row>
    <row r="449" spans="1:4" ht="16.5" customHeight="1" x14ac:dyDescent="0.25">
      <c r="A449" s="20"/>
      <c r="B449" s="21"/>
      <c r="C449" s="22"/>
      <c r="D449" s="23" t="str">
        <f>IF(AND(A449&lt;&gt;"",COUNTIF(A16:A515,A449)&gt;1),"⚠️ JÁ PESADO! Peso: "&amp;TEXT(IFERROR(INDEX(B16:B515,MATCH(A449,A16:A515,0)),0),"#,##0.0")&amp;" kg  Lote: "&amp;IFERROR(INDEX(C16:C515,MATCH(A449,A16:A515,0)),"?"),"")</f>
        <v/>
      </c>
    </row>
    <row r="450" spans="1:4" ht="16.5" customHeight="1" x14ac:dyDescent="0.25">
      <c r="A450" s="16"/>
      <c r="B450" s="17"/>
      <c r="C450" s="18"/>
      <c r="D450" s="19" t="str">
        <f>IF(AND(A450&lt;&gt;"",COUNTIF(A16:A515,A450)&gt;1),"⚠️ JÁ PESADO! Peso: "&amp;TEXT(IFERROR(INDEX(B16:B515,MATCH(A450,A16:A515,0)),0),"#,##0.0")&amp;" kg  Lote: "&amp;IFERROR(INDEX(C16:C515,MATCH(A450,A16:A515,0)),"?"),"")</f>
        <v/>
      </c>
    </row>
    <row r="451" spans="1:4" ht="16.5" customHeight="1" x14ac:dyDescent="0.25">
      <c r="A451" s="20"/>
      <c r="B451" s="21"/>
      <c r="C451" s="22"/>
      <c r="D451" s="23" t="str">
        <f>IF(AND(A451&lt;&gt;"",COUNTIF(A16:A515,A451)&gt;1),"⚠️ JÁ PESADO! Peso: "&amp;TEXT(IFERROR(INDEX(B16:B515,MATCH(A451,A16:A515,0)),0),"#,##0.0")&amp;" kg  Lote: "&amp;IFERROR(INDEX(C16:C515,MATCH(A451,A16:A515,0)),"?"),"")</f>
        <v/>
      </c>
    </row>
    <row r="452" spans="1:4" ht="16.5" customHeight="1" x14ac:dyDescent="0.25">
      <c r="A452" s="16"/>
      <c r="B452" s="17"/>
      <c r="C452" s="18"/>
      <c r="D452" s="19" t="str">
        <f>IF(AND(A452&lt;&gt;"",COUNTIF(A16:A515,A452)&gt;1),"⚠️ JÁ PESADO! Peso: "&amp;TEXT(IFERROR(INDEX(B16:B515,MATCH(A452,A16:A515,0)),0),"#,##0.0")&amp;" kg  Lote: "&amp;IFERROR(INDEX(C16:C515,MATCH(A452,A16:A515,0)),"?"),"")</f>
        <v/>
      </c>
    </row>
    <row r="453" spans="1:4" ht="16.5" customHeight="1" x14ac:dyDescent="0.25">
      <c r="A453" s="20"/>
      <c r="B453" s="21"/>
      <c r="C453" s="22"/>
      <c r="D453" s="23" t="str">
        <f>IF(AND(A453&lt;&gt;"",COUNTIF(A16:A515,A453)&gt;1),"⚠️ JÁ PESADO! Peso: "&amp;TEXT(IFERROR(INDEX(B16:B515,MATCH(A453,A16:A515,0)),0),"#,##0.0")&amp;" kg  Lote: "&amp;IFERROR(INDEX(C16:C515,MATCH(A453,A16:A515,0)),"?"),"")</f>
        <v/>
      </c>
    </row>
    <row r="454" spans="1:4" ht="16.5" customHeight="1" x14ac:dyDescent="0.25">
      <c r="A454" s="16"/>
      <c r="B454" s="17"/>
      <c r="C454" s="18"/>
      <c r="D454" s="19" t="str">
        <f>IF(AND(A454&lt;&gt;"",COUNTIF(A16:A515,A454)&gt;1),"⚠️ JÁ PESADO! Peso: "&amp;TEXT(IFERROR(INDEX(B16:B515,MATCH(A454,A16:A515,0)),0),"#,##0.0")&amp;" kg  Lote: "&amp;IFERROR(INDEX(C16:C515,MATCH(A454,A16:A515,0)),"?"),"")</f>
        <v/>
      </c>
    </row>
    <row r="455" spans="1:4" ht="16.5" customHeight="1" x14ac:dyDescent="0.25">
      <c r="A455" s="20"/>
      <c r="B455" s="21"/>
      <c r="C455" s="22"/>
      <c r="D455" s="23" t="str">
        <f>IF(AND(A455&lt;&gt;"",COUNTIF(A16:A515,A455)&gt;1),"⚠️ JÁ PESADO! Peso: "&amp;TEXT(IFERROR(INDEX(B16:B515,MATCH(A455,A16:A515,0)),0),"#,##0.0")&amp;" kg  Lote: "&amp;IFERROR(INDEX(C16:C515,MATCH(A455,A16:A515,0)),"?"),"")</f>
        <v/>
      </c>
    </row>
    <row r="456" spans="1:4" ht="16.5" customHeight="1" x14ac:dyDescent="0.25">
      <c r="A456" s="16"/>
      <c r="B456" s="17"/>
      <c r="C456" s="18"/>
      <c r="D456" s="19" t="str">
        <f>IF(AND(A456&lt;&gt;"",COUNTIF(A16:A515,A456)&gt;1),"⚠️ JÁ PESADO! Peso: "&amp;TEXT(IFERROR(INDEX(B16:B515,MATCH(A456,A16:A515,0)),0),"#,##0.0")&amp;" kg  Lote: "&amp;IFERROR(INDEX(C16:C515,MATCH(A456,A16:A515,0)),"?"),"")</f>
        <v/>
      </c>
    </row>
    <row r="457" spans="1:4" ht="16.5" customHeight="1" x14ac:dyDescent="0.25">
      <c r="A457" s="20"/>
      <c r="B457" s="21"/>
      <c r="C457" s="22"/>
      <c r="D457" s="23" t="str">
        <f>IF(AND(A457&lt;&gt;"",COUNTIF(A16:A515,A457)&gt;1),"⚠️ JÁ PESADO! Peso: "&amp;TEXT(IFERROR(INDEX(B16:B515,MATCH(A457,A16:A515,0)),0),"#,##0.0")&amp;" kg  Lote: "&amp;IFERROR(INDEX(C16:C515,MATCH(A457,A16:A515,0)),"?"),"")</f>
        <v/>
      </c>
    </row>
    <row r="458" spans="1:4" ht="16.5" customHeight="1" x14ac:dyDescent="0.25">
      <c r="A458" s="16"/>
      <c r="B458" s="17"/>
      <c r="C458" s="18"/>
      <c r="D458" s="19" t="str">
        <f>IF(AND(A458&lt;&gt;"",COUNTIF(A16:A515,A458)&gt;1),"⚠️ JÁ PESADO! Peso: "&amp;TEXT(IFERROR(INDEX(B16:B515,MATCH(A458,A16:A515,0)),0),"#,##0.0")&amp;" kg  Lote: "&amp;IFERROR(INDEX(C16:C515,MATCH(A458,A16:A515,0)),"?"),"")</f>
        <v/>
      </c>
    </row>
    <row r="459" spans="1:4" ht="16.5" customHeight="1" x14ac:dyDescent="0.25">
      <c r="A459" s="20"/>
      <c r="B459" s="21"/>
      <c r="C459" s="22"/>
      <c r="D459" s="23" t="str">
        <f>IF(AND(A459&lt;&gt;"",COUNTIF(A16:A515,A459)&gt;1),"⚠️ JÁ PESADO! Peso: "&amp;TEXT(IFERROR(INDEX(B16:B515,MATCH(A459,A16:A515,0)),0),"#,##0.0")&amp;" kg  Lote: "&amp;IFERROR(INDEX(C16:C515,MATCH(A459,A16:A515,0)),"?"),"")</f>
        <v/>
      </c>
    </row>
    <row r="460" spans="1:4" ht="16.5" customHeight="1" x14ac:dyDescent="0.25">
      <c r="A460" s="16"/>
      <c r="B460" s="17"/>
      <c r="C460" s="18"/>
      <c r="D460" s="19" t="str">
        <f>IF(AND(A460&lt;&gt;"",COUNTIF(A16:A515,A460)&gt;1),"⚠️ JÁ PESADO! Peso: "&amp;TEXT(IFERROR(INDEX(B16:B515,MATCH(A460,A16:A515,0)),0),"#,##0.0")&amp;" kg  Lote: "&amp;IFERROR(INDEX(C16:C515,MATCH(A460,A16:A515,0)),"?"),"")</f>
        <v/>
      </c>
    </row>
    <row r="461" spans="1:4" ht="16.5" customHeight="1" x14ac:dyDescent="0.25">
      <c r="A461" s="20"/>
      <c r="B461" s="21"/>
      <c r="C461" s="22"/>
      <c r="D461" s="23" t="str">
        <f>IF(AND(A461&lt;&gt;"",COUNTIF(A16:A515,A461)&gt;1),"⚠️ JÁ PESADO! Peso: "&amp;TEXT(IFERROR(INDEX(B16:B515,MATCH(A461,A16:A515,0)),0),"#,##0.0")&amp;" kg  Lote: "&amp;IFERROR(INDEX(C16:C515,MATCH(A461,A16:A515,0)),"?"),"")</f>
        <v/>
      </c>
    </row>
    <row r="462" spans="1:4" ht="16.5" customHeight="1" x14ac:dyDescent="0.25">
      <c r="A462" s="16"/>
      <c r="B462" s="17"/>
      <c r="C462" s="18"/>
      <c r="D462" s="19" t="str">
        <f>IF(AND(A462&lt;&gt;"",COUNTIF(A16:A515,A462)&gt;1),"⚠️ JÁ PESADO! Peso: "&amp;TEXT(IFERROR(INDEX(B16:B515,MATCH(A462,A16:A515,0)),0),"#,##0.0")&amp;" kg  Lote: "&amp;IFERROR(INDEX(C16:C515,MATCH(A462,A16:A515,0)),"?"),"")</f>
        <v/>
      </c>
    </row>
    <row r="463" spans="1:4" ht="16.5" customHeight="1" x14ac:dyDescent="0.25">
      <c r="A463" s="20"/>
      <c r="B463" s="21"/>
      <c r="C463" s="22"/>
      <c r="D463" s="23" t="str">
        <f>IF(AND(A463&lt;&gt;"",COUNTIF(A16:A515,A463)&gt;1),"⚠️ JÁ PESADO! Peso: "&amp;TEXT(IFERROR(INDEX(B16:B515,MATCH(A463,A16:A515,0)),0),"#,##0.0")&amp;" kg  Lote: "&amp;IFERROR(INDEX(C16:C515,MATCH(A463,A16:A515,0)),"?"),"")</f>
        <v/>
      </c>
    </row>
    <row r="464" spans="1:4" ht="16.5" customHeight="1" x14ac:dyDescent="0.25">
      <c r="A464" s="16"/>
      <c r="B464" s="17"/>
      <c r="C464" s="18"/>
      <c r="D464" s="19" t="str">
        <f>IF(AND(A464&lt;&gt;"",COUNTIF(A16:A515,A464)&gt;1),"⚠️ JÁ PESADO! Peso: "&amp;TEXT(IFERROR(INDEX(B16:B515,MATCH(A464,A16:A515,0)),0),"#,##0.0")&amp;" kg  Lote: "&amp;IFERROR(INDEX(C16:C515,MATCH(A464,A16:A515,0)),"?"),"")</f>
        <v/>
      </c>
    </row>
    <row r="465" spans="1:4" ht="16.5" customHeight="1" x14ac:dyDescent="0.25">
      <c r="A465" s="20"/>
      <c r="B465" s="21"/>
      <c r="C465" s="22"/>
      <c r="D465" s="23" t="str">
        <f>IF(AND(A465&lt;&gt;"",COUNTIF(A16:A515,A465)&gt;1),"⚠️ JÁ PESADO! Peso: "&amp;TEXT(IFERROR(INDEX(B16:B515,MATCH(A465,A16:A515,0)),0),"#,##0.0")&amp;" kg  Lote: "&amp;IFERROR(INDEX(C16:C515,MATCH(A465,A16:A515,0)),"?"),"")</f>
        <v/>
      </c>
    </row>
    <row r="466" spans="1:4" ht="16.5" customHeight="1" x14ac:dyDescent="0.25">
      <c r="A466" s="16"/>
      <c r="B466" s="17"/>
      <c r="C466" s="18"/>
      <c r="D466" s="19" t="str">
        <f>IF(AND(A466&lt;&gt;"",COUNTIF(A16:A515,A466)&gt;1),"⚠️ JÁ PESADO! Peso: "&amp;TEXT(IFERROR(INDEX(B16:B515,MATCH(A466,A16:A515,0)),0),"#,##0.0")&amp;" kg  Lote: "&amp;IFERROR(INDEX(C16:C515,MATCH(A466,A16:A515,0)),"?"),"")</f>
        <v/>
      </c>
    </row>
    <row r="467" spans="1:4" ht="16.5" customHeight="1" x14ac:dyDescent="0.25">
      <c r="A467" s="20"/>
      <c r="B467" s="21"/>
      <c r="C467" s="22"/>
      <c r="D467" s="23" t="str">
        <f>IF(AND(A467&lt;&gt;"",COUNTIF(A16:A515,A467)&gt;1),"⚠️ JÁ PESADO! Peso: "&amp;TEXT(IFERROR(INDEX(B16:B515,MATCH(A467,A16:A515,0)),0),"#,##0.0")&amp;" kg  Lote: "&amp;IFERROR(INDEX(C16:C515,MATCH(A467,A16:A515,0)),"?"),"")</f>
        <v/>
      </c>
    </row>
    <row r="468" spans="1:4" ht="16.5" customHeight="1" x14ac:dyDescent="0.25">
      <c r="A468" s="16"/>
      <c r="B468" s="17"/>
      <c r="C468" s="18"/>
      <c r="D468" s="19" t="str">
        <f>IF(AND(A468&lt;&gt;"",COUNTIF(A16:A515,A468)&gt;1),"⚠️ JÁ PESADO! Peso: "&amp;TEXT(IFERROR(INDEX(B16:B515,MATCH(A468,A16:A515,0)),0),"#,##0.0")&amp;" kg  Lote: "&amp;IFERROR(INDEX(C16:C515,MATCH(A468,A16:A515,0)),"?"),"")</f>
        <v/>
      </c>
    </row>
    <row r="469" spans="1:4" ht="16.5" customHeight="1" x14ac:dyDescent="0.25">
      <c r="A469" s="20"/>
      <c r="B469" s="21"/>
      <c r="C469" s="22"/>
      <c r="D469" s="23" t="str">
        <f>IF(AND(A469&lt;&gt;"",COUNTIF(A16:A515,A469)&gt;1),"⚠️ JÁ PESADO! Peso: "&amp;TEXT(IFERROR(INDEX(B16:B515,MATCH(A469,A16:A515,0)),0),"#,##0.0")&amp;" kg  Lote: "&amp;IFERROR(INDEX(C16:C515,MATCH(A469,A16:A515,0)),"?"),"")</f>
        <v/>
      </c>
    </row>
    <row r="470" spans="1:4" ht="16.5" customHeight="1" x14ac:dyDescent="0.25">
      <c r="A470" s="16"/>
      <c r="B470" s="17"/>
      <c r="C470" s="18"/>
      <c r="D470" s="19" t="str">
        <f>IF(AND(A470&lt;&gt;"",COUNTIF(A16:A515,A470)&gt;1),"⚠️ JÁ PESADO! Peso: "&amp;TEXT(IFERROR(INDEX(B16:B515,MATCH(A470,A16:A515,0)),0),"#,##0.0")&amp;" kg  Lote: "&amp;IFERROR(INDEX(C16:C515,MATCH(A470,A16:A515,0)),"?"),"")</f>
        <v/>
      </c>
    </row>
    <row r="471" spans="1:4" ht="16.5" customHeight="1" x14ac:dyDescent="0.25">
      <c r="A471" s="20"/>
      <c r="B471" s="21"/>
      <c r="C471" s="22"/>
      <c r="D471" s="23" t="str">
        <f>IF(AND(A471&lt;&gt;"",COUNTIF(A16:A515,A471)&gt;1),"⚠️ JÁ PESADO! Peso: "&amp;TEXT(IFERROR(INDEX(B16:B515,MATCH(A471,A16:A515,0)),0),"#,##0.0")&amp;" kg  Lote: "&amp;IFERROR(INDEX(C16:C515,MATCH(A471,A16:A515,0)),"?"),"")</f>
        <v/>
      </c>
    </row>
    <row r="472" spans="1:4" ht="16.5" customHeight="1" x14ac:dyDescent="0.25">
      <c r="A472" s="16"/>
      <c r="B472" s="17"/>
      <c r="C472" s="18"/>
      <c r="D472" s="19" t="str">
        <f>IF(AND(A472&lt;&gt;"",COUNTIF(A16:A515,A472)&gt;1),"⚠️ JÁ PESADO! Peso: "&amp;TEXT(IFERROR(INDEX(B16:B515,MATCH(A472,A16:A515,0)),0),"#,##0.0")&amp;" kg  Lote: "&amp;IFERROR(INDEX(C16:C515,MATCH(A472,A16:A515,0)),"?"),"")</f>
        <v/>
      </c>
    </row>
    <row r="473" spans="1:4" ht="16.5" customHeight="1" x14ac:dyDescent="0.25">
      <c r="A473" s="20"/>
      <c r="B473" s="21"/>
      <c r="C473" s="22"/>
      <c r="D473" s="23" t="str">
        <f>IF(AND(A473&lt;&gt;"",COUNTIF(A16:A515,A473)&gt;1),"⚠️ JÁ PESADO! Peso: "&amp;TEXT(IFERROR(INDEX(B16:B515,MATCH(A473,A16:A515,0)),0),"#,##0.0")&amp;" kg  Lote: "&amp;IFERROR(INDEX(C16:C515,MATCH(A473,A16:A515,0)),"?"),"")</f>
        <v/>
      </c>
    </row>
    <row r="474" spans="1:4" ht="16.5" customHeight="1" x14ac:dyDescent="0.25">
      <c r="A474" s="16"/>
      <c r="B474" s="17"/>
      <c r="C474" s="18"/>
      <c r="D474" s="19" t="str">
        <f>IF(AND(A474&lt;&gt;"",COUNTIF(A16:A515,A474)&gt;1),"⚠️ JÁ PESADO! Peso: "&amp;TEXT(IFERROR(INDEX(B16:B515,MATCH(A474,A16:A515,0)),0),"#,##0.0")&amp;" kg  Lote: "&amp;IFERROR(INDEX(C16:C515,MATCH(A474,A16:A515,0)),"?"),"")</f>
        <v/>
      </c>
    </row>
    <row r="475" spans="1:4" ht="16.5" customHeight="1" x14ac:dyDescent="0.25">
      <c r="A475" s="20"/>
      <c r="B475" s="21"/>
      <c r="C475" s="22"/>
      <c r="D475" s="23" t="str">
        <f>IF(AND(A475&lt;&gt;"",COUNTIF(A16:A515,A475)&gt;1),"⚠️ JÁ PESADO! Peso: "&amp;TEXT(IFERROR(INDEX(B16:B515,MATCH(A475,A16:A515,0)),0),"#,##0.0")&amp;" kg  Lote: "&amp;IFERROR(INDEX(C16:C515,MATCH(A475,A16:A515,0)),"?"),"")</f>
        <v/>
      </c>
    </row>
    <row r="476" spans="1:4" ht="16.5" customHeight="1" x14ac:dyDescent="0.25">
      <c r="A476" s="16"/>
      <c r="B476" s="17"/>
      <c r="C476" s="18"/>
      <c r="D476" s="19" t="str">
        <f>IF(AND(A476&lt;&gt;"",COUNTIF(A16:A515,A476)&gt;1),"⚠️ JÁ PESADO! Peso: "&amp;TEXT(IFERROR(INDEX(B16:B515,MATCH(A476,A16:A515,0)),0),"#,##0.0")&amp;" kg  Lote: "&amp;IFERROR(INDEX(C16:C515,MATCH(A476,A16:A515,0)),"?"),"")</f>
        <v/>
      </c>
    </row>
    <row r="477" spans="1:4" ht="16.5" customHeight="1" x14ac:dyDescent="0.25">
      <c r="A477" s="20"/>
      <c r="B477" s="21"/>
      <c r="C477" s="22"/>
      <c r="D477" s="23" t="str">
        <f>IF(AND(A477&lt;&gt;"",COUNTIF(A16:A515,A477)&gt;1),"⚠️ JÁ PESADO! Peso: "&amp;TEXT(IFERROR(INDEX(B16:B515,MATCH(A477,A16:A515,0)),0),"#,##0.0")&amp;" kg  Lote: "&amp;IFERROR(INDEX(C16:C515,MATCH(A477,A16:A515,0)),"?"),"")</f>
        <v/>
      </c>
    </row>
    <row r="478" spans="1:4" ht="16.5" customHeight="1" x14ac:dyDescent="0.25">
      <c r="A478" s="16"/>
      <c r="B478" s="17"/>
      <c r="C478" s="18"/>
      <c r="D478" s="19" t="str">
        <f>IF(AND(A478&lt;&gt;"",COUNTIF(A16:A515,A478)&gt;1),"⚠️ JÁ PESADO! Peso: "&amp;TEXT(IFERROR(INDEX(B16:B515,MATCH(A478,A16:A515,0)),0),"#,##0.0")&amp;" kg  Lote: "&amp;IFERROR(INDEX(C16:C515,MATCH(A478,A16:A515,0)),"?"),"")</f>
        <v/>
      </c>
    </row>
    <row r="479" spans="1:4" ht="16.5" customHeight="1" x14ac:dyDescent="0.25">
      <c r="A479" s="20"/>
      <c r="B479" s="21"/>
      <c r="C479" s="22"/>
      <c r="D479" s="23" t="str">
        <f>IF(AND(A479&lt;&gt;"",COUNTIF(A16:A515,A479)&gt;1),"⚠️ JÁ PESADO! Peso: "&amp;TEXT(IFERROR(INDEX(B16:B515,MATCH(A479,A16:A515,0)),0),"#,##0.0")&amp;" kg  Lote: "&amp;IFERROR(INDEX(C16:C515,MATCH(A479,A16:A515,0)),"?"),"")</f>
        <v/>
      </c>
    </row>
    <row r="480" spans="1:4" ht="16.5" customHeight="1" x14ac:dyDescent="0.25">
      <c r="A480" s="16"/>
      <c r="B480" s="17"/>
      <c r="C480" s="18"/>
      <c r="D480" s="19" t="str">
        <f>IF(AND(A480&lt;&gt;"",COUNTIF(A16:A515,A480)&gt;1),"⚠️ JÁ PESADO! Peso: "&amp;TEXT(IFERROR(INDEX(B16:B515,MATCH(A480,A16:A515,0)),0),"#,##0.0")&amp;" kg  Lote: "&amp;IFERROR(INDEX(C16:C515,MATCH(A480,A16:A515,0)),"?"),"")</f>
        <v/>
      </c>
    </row>
    <row r="481" spans="1:4" ht="16.5" customHeight="1" x14ac:dyDescent="0.25">
      <c r="A481" s="20"/>
      <c r="B481" s="21"/>
      <c r="C481" s="22"/>
      <c r="D481" s="23" t="str">
        <f>IF(AND(A481&lt;&gt;"",COUNTIF(A16:A515,A481)&gt;1),"⚠️ JÁ PESADO! Peso: "&amp;TEXT(IFERROR(INDEX(B16:B515,MATCH(A481,A16:A515,0)),0),"#,##0.0")&amp;" kg  Lote: "&amp;IFERROR(INDEX(C16:C515,MATCH(A481,A16:A515,0)),"?"),"")</f>
        <v/>
      </c>
    </row>
    <row r="482" spans="1:4" ht="16.5" customHeight="1" x14ac:dyDescent="0.25">
      <c r="A482" s="16"/>
      <c r="B482" s="17"/>
      <c r="C482" s="18"/>
      <c r="D482" s="19" t="str">
        <f>IF(AND(A482&lt;&gt;"",COUNTIF(A16:A515,A482)&gt;1),"⚠️ JÁ PESADO! Peso: "&amp;TEXT(IFERROR(INDEX(B16:B515,MATCH(A482,A16:A515,0)),0),"#,##0.0")&amp;" kg  Lote: "&amp;IFERROR(INDEX(C16:C515,MATCH(A482,A16:A515,0)),"?"),"")</f>
        <v/>
      </c>
    </row>
    <row r="483" spans="1:4" ht="16.5" customHeight="1" x14ac:dyDescent="0.25">
      <c r="A483" s="20"/>
      <c r="B483" s="21"/>
      <c r="C483" s="22"/>
      <c r="D483" s="23" t="str">
        <f>IF(AND(A483&lt;&gt;"",COUNTIF(A16:A515,A483)&gt;1),"⚠️ JÁ PESADO! Peso: "&amp;TEXT(IFERROR(INDEX(B16:B515,MATCH(A483,A16:A515,0)),0),"#,##0.0")&amp;" kg  Lote: "&amp;IFERROR(INDEX(C16:C515,MATCH(A483,A16:A515,0)),"?"),"")</f>
        <v/>
      </c>
    </row>
    <row r="484" spans="1:4" ht="16.5" customHeight="1" x14ac:dyDescent="0.25">
      <c r="A484" s="16"/>
      <c r="B484" s="17"/>
      <c r="C484" s="18"/>
      <c r="D484" s="19" t="str">
        <f>IF(AND(A484&lt;&gt;"",COUNTIF(A16:A515,A484)&gt;1),"⚠️ JÁ PESADO! Peso: "&amp;TEXT(IFERROR(INDEX(B16:B515,MATCH(A484,A16:A515,0)),0),"#,##0.0")&amp;" kg  Lote: "&amp;IFERROR(INDEX(C16:C515,MATCH(A484,A16:A515,0)),"?"),"")</f>
        <v/>
      </c>
    </row>
    <row r="485" spans="1:4" ht="16.5" customHeight="1" x14ac:dyDescent="0.25">
      <c r="A485" s="20"/>
      <c r="B485" s="21"/>
      <c r="C485" s="22"/>
      <c r="D485" s="23" t="str">
        <f>IF(AND(A485&lt;&gt;"",COUNTIF(A16:A515,A485)&gt;1),"⚠️ JÁ PESADO! Peso: "&amp;TEXT(IFERROR(INDEX(B16:B515,MATCH(A485,A16:A515,0)),0),"#,##0.0")&amp;" kg  Lote: "&amp;IFERROR(INDEX(C16:C515,MATCH(A485,A16:A515,0)),"?"),"")</f>
        <v/>
      </c>
    </row>
    <row r="486" spans="1:4" ht="16.5" customHeight="1" x14ac:dyDescent="0.25">
      <c r="A486" s="16"/>
      <c r="B486" s="17"/>
      <c r="C486" s="18"/>
      <c r="D486" s="19" t="str">
        <f>IF(AND(A486&lt;&gt;"",COUNTIF(A16:A515,A486)&gt;1),"⚠️ JÁ PESADO! Peso: "&amp;TEXT(IFERROR(INDEX(B16:B515,MATCH(A486,A16:A515,0)),0),"#,##0.0")&amp;" kg  Lote: "&amp;IFERROR(INDEX(C16:C515,MATCH(A486,A16:A515,0)),"?"),"")</f>
        <v/>
      </c>
    </row>
    <row r="487" spans="1:4" ht="16.5" customHeight="1" x14ac:dyDescent="0.25">
      <c r="A487" s="20"/>
      <c r="B487" s="21"/>
      <c r="C487" s="22"/>
      <c r="D487" s="23" t="str">
        <f>IF(AND(A487&lt;&gt;"",COUNTIF(A16:A515,A487)&gt;1),"⚠️ JÁ PESADO! Peso: "&amp;TEXT(IFERROR(INDEX(B16:B515,MATCH(A487,A16:A515,0)),0),"#,##0.0")&amp;" kg  Lote: "&amp;IFERROR(INDEX(C16:C515,MATCH(A487,A16:A515,0)),"?"),"")</f>
        <v/>
      </c>
    </row>
    <row r="488" spans="1:4" ht="16.5" customHeight="1" x14ac:dyDescent="0.25">
      <c r="A488" s="16"/>
      <c r="B488" s="17"/>
      <c r="C488" s="18"/>
      <c r="D488" s="19" t="str">
        <f>IF(AND(A488&lt;&gt;"",COUNTIF(A16:A515,A488)&gt;1),"⚠️ JÁ PESADO! Peso: "&amp;TEXT(IFERROR(INDEX(B16:B515,MATCH(A488,A16:A515,0)),0),"#,##0.0")&amp;" kg  Lote: "&amp;IFERROR(INDEX(C16:C515,MATCH(A488,A16:A515,0)),"?"),"")</f>
        <v/>
      </c>
    </row>
    <row r="489" spans="1:4" ht="16.5" customHeight="1" x14ac:dyDescent="0.25">
      <c r="A489" s="20"/>
      <c r="B489" s="21"/>
      <c r="C489" s="22"/>
      <c r="D489" s="23" t="str">
        <f>IF(AND(A489&lt;&gt;"",COUNTIF(A16:A515,A489)&gt;1),"⚠️ JÁ PESADO! Peso: "&amp;TEXT(IFERROR(INDEX(B16:B515,MATCH(A489,A16:A515,0)),0),"#,##0.0")&amp;" kg  Lote: "&amp;IFERROR(INDEX(C16:C515,MATCH(A489,A16:A515,0)),"?"),"")</f>
        <v/>
      </c>
    </row>
    <row r="490" spans="1:4" ht="16.5" customHeight="1" x14ac:dyDescent="0.25">
      <c r="A490" s="16"/>
      <c r="B490" s="17"/>
      <c r="C490" s="18"/>
      <c r="D490" s="19" t="str">
        <f>IF(AND(A490&lt;&gt;"",COUNTIF(A16:A515,A490)&gt;1),"⚠️ JÁ PESADO! Peso: "&amp;TEXT(IFERROR(INDEX(B16:B515,MATCH(A490,A16:A515,0)),0),"#,##0.0")&amp;" kg  Lote: "&amp;IFERROR(INDEX(C16:C515,MATCH(A490,A16:A515,0)),"?"),"")</f>
        <v/>
      </c>
    </row>
    <row r="491" spans="1:4" ht="16.5" customHeight="1" x14ac:dyDescent="0.25">
      <c r="A491" s="20"/>
      <c r="B491" s="21"/>
      <c r="C491" s="22"/>
      <c r="D491" s="23" t="str">
        <f>IF(AND(A491&lt;&gt;"",COUNTIF(A16:A515,A491)&gt;1),"⚠️ JÁ PESADO! Peso: "&amp;TEXT(IFERROR(INDEX(B16:B515,MATCH(A491,A16:A515,0)),0),"#,##0.0")&amp;" kg  Lote: "&amp;IFERROR(INDEX(C16:C515,MATCH(A491,A16:A515,0)),"?"),"")</f>
        <v/>
      </c>
    </row>
    <row r="492" spans="1:4" ht="16.5" customHeight="1" x14ac:dyDescent="0.25">
      <c r="A492" s="16"/>
      <c r="B492" s="17"/>
      <c r="C492" s="18"/>
      <c r="D492" s="19" t="str">
        <f>IF(AND(A492&lt;&gt;"",COUNTIF(A16:A515,A492)&gt;1),"⚠️ JÁ PESADO! Peso: "&amp;TEXT(IFERROR(INDEX(B16:B515,MATCH(A492,A16:A515,0)),0),"#,##0.0")&amp;" kg  Lote: "&amp;IFERROR(INDEX(C16:C515,MATCH(A492,A16:A515,0)),"?"),"")</f>
        <v/>
      </c>
    </row>
    <row r="493" spans="1:4" ht="16.5" customHeight="1" x14ac:dyDescent="0.25">
      <c r="A493" s="20"/>
      <c r="B493" s="21"/>
      <c r="C493" s="22"/>
      <c r="D493" s="23" t="str">
        <f>IF(AND(A493&lt;&gt;"",COUNTIF(A16:A515,A493)&gt;1),"⚠️ JÁ PESADO! Peso: "&amp;TEXT(IFERROR(INDEX(B16:B515,MATCH(A493,A16:A515,0)),0),"#,##0.0")&amp;" kg  Lote: "&amp;IFERROR(INDEX(C16:C515,MATCH(A493,A16:A515,0)),"?"),"")</f>
        <v/>
      </c>
    </row>
    <row r="494" spans="1:4" ht="16.5" customHeight="1" x14ac:dyDescent="0.25">
      <c r="A494" s="16"/>
      <c r="B494" s="17"/>
      <c r="C494" s="18"/>
      <c r="D494" s="19" t="str">
        <f>IF(AND(A494&lt;&gt;"",COUNTIF(A16:A515,A494)&gt;1),"⚠️ JÁ PESADO! Peso: "&amp;TEXT(IFERROR(INDEX(B16:B515,MATCH(A494,A16:A515,0)),0),"#,##0.0")&amp;" kg  Lote: "&amp;IFERROR(INDEX(C16:C515,MATCH(A494,A16:A515,0)),"?"),"")</f>
        <v/>
      </c>
    </row>
    <row r="495" spans="1:4" ht="16.5" customHeight="1" x14ac:dyDescent="0.25">
      <c r="A495" s="20"/>
      <c r="B495" s="21"/>
      <c r="C495" s="22"/>
      <c r="D495" s="23" t="str">
        <f>IF(AND(A495&lt;&gt;"",COUNTIF(A16:A515,A495)&gt;1),"⚠️ JÁ PESADO! Peso: "&amp;TEXT(IFERROR(INDEX(B16:B515,MATCH(A495,A16:A515,0)),0),"#,##0.0")&amp;" kg  Lote: "&amp;IFERROR(INDEX(C16:C515,MATCH(A495,A16:A515,0)),"?"),"")</f>
        <v/>
      </c>
    </row>
    <row r="496" spans="1:4" ht="16.5" customHeight="1" x14ac:dyDescent="0.25">
      <c r="A496" s="16"/>
      <c r="B496" s="17"/>
      <c r="C496" s="18"/>
      <c r="D496" s="19" t="str">
        <f>IF(AND(A496&lt;&gt;"",COUNTIF(A16:A515,A496)&gt;1),"⚠️ JÁ PESADO! Peso: "&amp;TEXT(IFERROR(INDEX(B16:B515,MATCH(A496,A16:A515,0)),0),"#,##0.0")&amp;" kg  Lote: "&amp;IFERROR(INDEX(C16:C515,MATCH(A496,A16:A515,0)),"?"),"")</f>
        <v/>
      </c>
    </row>
    <row r="497" spans="1:4" ht="16.5" customHeight="1" x14ac:dyDescent="0.25">
      <c r="A497" s="20"/>
      <c r="B497" s="21"/>
      <c r="C497" s="22"/>
      <c r="D497" s="23" t="str">
        <f>IF(AND(A497&lt;&gt;"",COUNTIF(A16:A515,A497)&gt;1),"⚠️ JÁ PESADO! Peso: "&amp;TEXT(IFERROR(INDEX(B16:B515,MATCH(A497,A16:A515,0)),0),"#,##0.0")&amp;" kg  Lote: "&amp;IFERROR(INDEX(C16:C515,MATCH(A497,A16:A515,0)),"?"),"")</f>
        <v/>
      </c>
    </row>
    <row r="498" spans="1:4" ht="16.5" customHeight="1" x14ac:dyDescent="0.25">
      <c r="A498" s="16"/>
      <c r="B498" s="17"/>
      <c r="C498" s="18"/>
      <c r="D498" s="19" t="str">
        <f>IF(AND(A498&lt;&gt;"",COUNTIF(A16:A515,A498)&gt;1),"⚠️ JÁ PESADO! Peso: "&amp;TEXT(IFERROR(INDEX(B16:B515,MATCH(A498,A16:A515,0)),0),"#,##0.0")&amp;" kg  Lote: "&amp;IFERROR(INDEX(C16:C515,MATCH(A498,A16:A515,0)),"?"),"")</f>
        <v/>
      </c>
    </row>
    <row r="499" spans="1:4" ht="16.5" customHeight="1" x14ac:dyDescent="0.25">
      <c r="A499" s="20"/>
      <c r="B499" s="21"/>
      <c r="C499" s="22"/>
      <c r="D499" s="23" t="str">
        <f>IF(AND(A499&lt;&gt;"",COUNTIF(A16:A515,A499)&gt;1),"⚠️ JÁ PESADO! Peso: "&amp;TEXT(IFERROR(INDEX(B16:B515,MATCH(A499,A16:A515,0)),0),"#,##0.0")&amp;" kg  Lote: "&amp;IFERROR(INDEX(C16:C515,MATCH(A499,A16:A515,0)),"?"),"")</f>
        <v/>
      </c>
    </row>
    <row r="500" spans="1:4" ht="16.5" customHeight="1" x14ac:dyDescent="0.25">
      <c r="A500" s="16"/>
      <c r="B500" s="17"/>
      <c r="C500" s="18"/>
      <c r="D500" s="19" t="str">
        <f>IF(AND(A500&lt;&gt;"",COUNTIF(A16:A515,A500)&gt;1),"⚠️ JÁ PESADO! Peso: "&amp;TEXT(IFERROR(INDEX(B16:B515,MATCH(A500,A16:A515,0)),0),"#,##0.0")&amp;" kg  Lote: "&amp;IFERROR(INDEX(C16:C515,MATCH(A500,A16:A515,0)),"?"),"")</f>
        <v/>
      </c>
    </row>
    <row r="501" spans="1:4" ht="16.5" customHeight="1" x14ac:dyDescent="0.25">
      <c r="A501" s="20"/>
      <c r="B501" s="21"/>
      <c r="C501" s="22"/>
      <c r="D501" s="23" t="str">
        <f>IF(AND(A501&lt;&gt;"",COUNTIF(A16:A515,A501)&gt;1),"⚠️ JÁ PESADO! Peso: "&amp;TEXT(IFERROR(INDEX(B16:B515,MATCH(A501,A16:A515,0)),0),"#,##0.0")&amp;" kg  Lote: "&amp;IFERROR(INDEX(C16:C515,MATCH(A501,A16:A515,0)),"?"),"")</f>
        <v/>
      </c>
    </row>
    <row r="502" spans="1:4" ht="16.5" customHeight="1" x14ac:dyDescent="0.25">
      <c r="A502" s="16"/>
      <c r="B502" s="17"/>
      <c r="C502" s="18"/>
      <c r="D502" s="19" t="str">
        <f>IF(AND(A502&lt;&gt;"",COUNTIF(A16:A515,A502)&gt;1),"⚠️ JÁ PESADO! Peso: "&amp;TEXT(IFERROR(INDEX(B16:B515,MATCH(A502,A16:A515,0)),0),"#,##0.0")&amp;" kg  Lote: "&amp;IFERROR(INDEX(C16:C515,MATCH(A502,A16:A515,0)),"?"),"")</f>
        <v/>
      </c>
    </row>
    <row r="503" spans="1:4" ht="16.5" customHeight="1" x14ac:dyDescent="0.25">
      <c r="A503" s="20"/>
      <c r="B503" s="21"/>
      <c r="C503" s="22"/>
      <c r="D503" s="23" t="str">
        <f>IF(AND(A503&lt;&gt;"",COUNTIF(A16:A515,A503)&gt;1),"⚠️ JÁ PESADO! Peso: "&amp;TEXT(IFERROR(INDEX(B16:B515,MATCH(A503,A16:A515,0)),0),"#,##0.0")&amp;" kg  Lote: "&amp;IFERROR(INDEX(C16:C515,MATCH(A503,A16:A515,0)),"?"),"")</f>
        <v/>
      </c>
    </row>
    <row r="504" spans="1:4" ht="16.5" customHeight="1" x14ac:dyDescent="0.25">
      <c r="A504" s="16"/>
      <c r="B504" s="17"/>
      <c r="C504" s="18"/>
      <c r="D504" s="19" t="str">
        <f>IF(AND(A504&lt;&gt;"",COUNTIF(A16:A515,A504)&gt;1),"⚠️ JÁ PESADO! Peso: "&amp;TEXT(IFERROR(INDEX(B16:B515,MATCH(A504,A16:A515,0)),0),"#,##0.0")&amp;" kg  Lote: "&amp;IFERROR(INDEX(C16:C515,MATCH(A504,A16:A515,0)),"?"),"")</f>
        <v/>
      </c>
    </row>
    <row r="505" spans="1:4" ht="16.5" customHeight="1" x14ac:dyDescent="0.25">
      <c r="A505" s="20"/>
      <c r="B505" s="21"/>
      <c r="C505" s="22"/>
      <c r="D505" s="23" t="str">
        <f>IF(AND(A505&lt;&gt;"",COUNTIF(A16:A515,A505)&gt;1),"⚠️ JÁ PESADO! Peso: "&amp;TEXT(IFERROR(INDEX(B16:B515,MATCH(A505,A16:A515,0)),0),"#,##0.0")&amp;" kg  Lote: "&amp;IFERROR(INDEX(C16:C515,MATCH(A505,A16:A515,0)),"?"),"")</f>
        <v/>
      </c>
    </row>
    <row r="506" spans="1:4" ht="16.5" customHeight="1" x14ac:dyDescent="0.25">
      <c r="A506" s="16"/>
      <c r="B506" s="17"/>
      <c r="C506" s="18"/>
      <c r="D506" s="19" t="str">
        <f>IF(AND(A506&lt;&gt;"",COUNTIF(A16:A515,A506)&gt;1),"⚠️ JÁ PESADO! Peso: "&amp;TEXT(IFERROR(INDEX(B16:B515,MATCH(A506,A16:A515,0)),0),"#,##0.0")&amp;" kg  Lote: "&amp;IFERROR(INDEX(C16:C515,MATCH(A506,A16:A515,0)),"?"),"")</f>
        <v/>
      </c>
    </row>
    <row r="507" spans="1:4" ht="16.5" customHeight="1" x14ac:dyDescent="0.25">
      <c r="A507" s="20"/>
      <c r="B507" s="21"/>
      <c r="C507" s="22"/>
      <c r="D507" s="23" t="str">
        <f>IF(AND(A507&lt;&gt;"",COUNTIF(A16:A515,A507)&gt;1),"⚠️ JÁ PESADO! Peso: "&amp;TEXT(IFERROR(INDEX(B16:B515,MATCH(A507,A16:A515,0)),0),"#,##0.0")&amp;" kg  Lote: "&amp;IFERROR(INDEX(C16:C515,MATCH(A507,A16:A515,0)),"?"),"")</f>
        <v/>
      </c>
    </row>
    <row r="508" spans="1:4" ht="16.5" customHeight="1" x14ac:dyDescent="0.25">
      <c r="A508" s="16"/>
      <c r="B508" s="17"/>
      <c r="C508" s="18"/>
      <c r="D508" s="19" t="str">
        <f>IF(AND(A508&lt;&gt;"",COUNTIF(A16:A515,A508)&gt;1),"⚠️ JÁ PESADO! Peso: "&amp;TEXT(IFERROR(INDEX(B16:B515,MATCH(A508,A16:A515,0)),0),"#,##0.0")&amp;" kg  Lote: "&amp;IFERROR(INDEX(C16:C515,MATCH(A508,A16:A515,0)),"?"),"")</f>
        <v/>
      </c>
    </row>
    <row r="509" spans="1:4" ht="16.5" customHeight="1" x14ac:dyDescent="0.25">
      <c r="A509" s="20"/>
      <c r="B509" s="21"/>
      <c r="C509" s="22"/>
      <c r="D509" s="23" t="str">
        <f>IF(AND(A509&lt;&gt;"",COUNTIF(A16:A515,A509)&gt;1),"⚠️ JÁ PESADO! Peso: "&amp;TEXT(IFERROR(INDEX(B16:B515,MATCH(A509,A16:A515,0)),0),"#,##0.0")&amp;" kg  Lote: "&amp;IFERROR(INDEX(C16:C515,MATCH(A509,A16:A515,0)),"?"),"")</f>
        <v/>
      </c>
    </row>
    <row r="510" spans="1:4" ht="16.5" customHeight="1" x14ac:dyDescent="0.25">
      <c r="A510" s="16"/>
      <c r="B510" s="17"/>
      <c r="C510" s="18"/>
      <c r="D510" s="19" t="str">
        <f>IF(AND(A510&lt;&gt;"",COUNTIF(A16:A515,A510)&gt;1),"⚠️ JÁ PESADO! Peso: "&amp;TEXT(IFERROR(INDEX(B16:B515,MATCH(A510,A16:A515,0)),0),"#,##0.0")&amp;" kg  Lote: "&amp;IFERROR(INDEX(C16:C515,MATCH(A510,A16:A515,0)),"?"),"")</f>
        <v/>
      </c>
    </row>
    <row r="511" spans="1:4" ht="16.5" customHeight="1" x14ac:dyDescent="0.25">
      <c r="A511" s="20"/>
      <c r="B511" s="21"/>
      <c r="C511" s="22"/>
      <c r="D511" s="23" t="str">
        <f>IF(AND(A511&lt;&gt;"",COUNTIF(A16:A515,A511)&gt;1),"⚠️ JÁ PESADO! Peso: "&amp;TEXT(IFERROR(INDEX(B16:B515,MATCH(A511,A16:A515,0)),0),"#,##0.0")&amp;" kg  Lote: "&amp;IFERROR(INDEX(C16:C515,MATCH(A511,A16:A515,0)),"?"),"")</f>
        <v/>
      </c>
    </row>
    <row r="512" spans="1:4" ht="16.5" customHeight="1" x14ac:dyDescent="0.25">
      <c r="A512" s="16"/>
      <c r="B512" s="17"/>
      <c r="C512" s="18"/>
      <c r="D512" s="19" t="str">
        <f>IF(AND(A512&lt;&gt;"",COUNTIF(A16:A515,A512)&gt;1),"⚠️ JÁ PESADO! Peso: "&amp;TEXT(IFERROR(INDEX(B16:B515,MATCH(A512,A16:A515,0)),0),"#,##0.0")&amp;" kg  Lote: "&amp;IFERROR(INDEX(C16:C515,MATCH(A512,A16:A515,0)),"?"),"")</f>
        <v/>
      </c>
    </row>
    <row r="513" spans="1:4" ht="16.5" customHeight="1" x14ac:dyDescent="0.25">
      <c r="A513" s="20"/>
      <c r="B513" s="21"/>
      <c r="C513" s="22"/>
      <c r="D513" s="23" t="str">
        <f>IF(AND(A513&lt;&gt;"",COUNTIF(A16:A515,A513)&gt;1),"⚠️ JÁ PESADO! Peso: "&amp;TEXT(IFERROR(INDEX(B16:B515,MATCH(A513,A16:A515,0)),0),"#,##0.0")&amp;" kg  Lote: "&amp;IFERROR(INDEX(C16:C515,MATCH(A513,A16:A515,0)),"?"),"")</f>
        <v/>
      </c>
    </row>
    <row r="514" spans="1:4" ht="16.5" customHeight="1" x14ac:dyDescent="0.25">
      <c r="A514" s="16"/>
      <c r="B514" s="17"/>
      <c r="C514" s="18"/>
      <c r="D514" s="19" t="str">
        <f>IF(AND(A514&lt;&gt;"",COUNTIF(A16:A515,A514)&gt;1),"⚠️ JÁ PESADO! Peso: "&amp;TEXT(IFERROR(INDEX(B16:B515,MATCH(A514,A16:A515,0)),0),"#,##0.0")&amp;" kg  Lote: "&amp;IFERROR(INDEX(C16:C515,MATCH(A514,A16:A515,0)),"?"),"")</f>
        <v/>
      </c>
    </row>
    <row r="515" spans="1:4" ht="16.5" customHeight="1" x14ac:dyDescent="0.25">
      <c r="A515" s="20"/>
      <c r="B515" s="21"/>
      <c r="C515" s="22"/>
      <c r="D515" s="23" t="str">
        <f>IF(AND(A515&lt;&gt;"",COUNTIF(A16:A515,A515)&gt;1),"⚠️ JÁ PESADO! Peso: "&amp;TEXT(IFERROR(INDEX(B16:B515,MATCH(A515,A16:A515,0)),0),"#,##0.0")&amp;" kg  Lote: "&amp;IFERROR(INDEX(C16:C515,MATCH(A515,A16:A515,0)),"?"),"")</f>
        <v/>
      </c>
    </row>
  </sheetData>
  <autoFilter ref="A15:D515" xr:uid="{00000000-0009-0000-0000-000000000000}"/>
  <mergeCells count="16">
    <mergeCell ref="A12:E12"/>
    <mergeCell ref="A14:P14"/>
    <mergeCell ref="A9:E9"/>
    <mergeCell ref="F5:P5"/>
    <mergeCell ref="A1:E3"/>
    <mergeCell ref="F1:M1"/>
    <mergeCell ref="F2:H2"/>
    <mergeCell ref="I2:M2"/>
    <mergeCell ref="F3:G3"/>
    <mergeCell ref="I3:J3"/>
    <mergeCell ref="K3:M3"/>
    <mergeCell ref="A8:E8"/>
    <mergeCell ref="A7:E7"/>
    <mergeCell ref="A6:E6"/>
    <mergeCell ref="A10:E10"/>
    <mergeCell ref="A11:E11"/>
  </mergeCells>
  <conditionalFormatting sqref="A16:A515">
    <cfRule type="expression" dxfId="1" priority="2">
      <formula>AND(A16&lt;&gt;"",COUNTIF($A$16:$A$515,A16)&gt;1)</formula>
    </cfRule>
  </conditionalFormatting>
  <conditionalFormatting sqref="B16:D515">
    <cfRule type="expression" dxfId="0" priority="3">
      <formula>AND($A16&lt;&gt;"",COUNTIF($A$16:$A$515,$A16)&gt;1)</formula>
    </cfRule>
  </conditionalFormatting>
  <dataValidations count="1">
    <dataValidation type="whole" showErrorMessage="1" errorTitle="Lote inválido" error="Digite número de 1 a 10" sqref="C16:C515" xr:uid="{00000000-0002-0000-0000-000000000000}">
      <formula1>1</formula1>
      <formula2>10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showGridLines="0" zoomScaleNormal="100" workbookViewId="0">
      <selection activeCell="C3" sqref="C3"/>
    </sheetView>
  </sheetViews>
  <sheetFormatPr defaultColWidth="8.7109375" defaultRowHeight="15" x14ac:dyDescent="0.25"/>
  <cols>
    <col min="1" max="1" width="3" customWidth="1"/>
    <col min="2" max="2" width="32" customWidth="1"/>
    <col min="3" max="3" width="65" customWidth="1"/>
  </cols>
  <sheetData>
    <row r="1" spans="1:3" ht="39.75" customHeight="1" x14ac:dyDescent="0.25">
      <c r="A1" s="40" t="s">
        <v>30</v>
      </c>
      <c r="B1" s="40"/>
      <c r="C1" s="40"/>
    </row>
    <row r="2" spans="1:3" ht="7.5" customHeight="1" x14ac:dyDescent="0.25"/>
    <row r="3" spans="1:3" ht="19.5" customHeight="1" x14ac:dyDescent="0.25">
      <c r="A3" s="24" t="s">
        <v>31</v>
      </c>
      <c r="B3" s="25" t="s">
        <v>32</v>
      </c>
      <c r="C3" s="26" t="s">
        <v>33</v>
      </c>
    </row>
    <row r="4" spans="1:3" ht="7.5" customHeight="1" x14ac:dyDescent="0.25"/>
    <row r="5" spans="1:3" ht="19.5" customHeight="1" x14ac:dyDescent="0.25">
      <c r="A5" s="24" t="s">
        <v>34</v>
      </c>
      <c r="B5" s="25" t="s">
        <v>35</v>
      </c>
      <c r="C5" s="26" t="s">
        <v>36</v>
      </c>
    </row>
    <row r="6" spans="1:3" ht="19.5" customHeight="1" x14ac:dyDescent="0.25">
      <c r="A6" s="24"/>
      <c r="B6" s="27" t="s">
        <v>37</v>
      </c>
      <c r="C6" s="28" t="s">
        <v>38</v>
      </c>
    </row>
    <row r="7" spans="1:3" ht="19.5" customHeight="1" x14ac:dyDescent="0.25">
      <c r="A7" s="24"/>
      <c r="B7" s="27" t="s">
        <v>39</v>
      </c>
      <c r="C7" s="28" t="s">
        <v>40</v>
      </c>
    </row>
    <row r="8" spans="1:3" ht="19.5" customHeight="1" x14ac:dyDescent="0.25">
      <c r="A8" s="24"/>
      <c r="B8" s="27" t="s">
        <v>41</v>
      </c>
      <c r="C8" s="28" t="s">
        <v>42</v>
      </c>
    </row>
    <row r="9" spans="1:3" ht="19.5" customHeight="1" x14ac:dyDescent="0.25">
      <c r="A9" s="24"/>
      <c r="B9" s="27" t="s">
        <v>43</v>
      </c>
      <c r="C9" s="28" t="s">
        <v>44</v>
      </c>
    </row>
    <row r="10" spans="1:3" ht="7.5" customHeight="1" x14ac:dyDescent="0.25"/>
    <row r="11" spans="1:3" ht="19.5" customHeight="1" x14ac:dyDescent="0.25">
      <c r="A11" s="24" t="s">
        <v>45</v>
      </c>
      <c r="B11" s="25" t="s">
        <v>46</v>
      </c>
      <c r="C11" s="26" t="s">
        <v>47</v>
      </c>
    </row>
    <row r="12" spans="1:3" ht="19.5" customHeight="1" x14ac:dyDescent="0.25">
      <c r="A12" s="24"/>
      <c r="B12" s="27"/>
      <c r="C12" s="28" t="s">
        <v>48</v>
      </c>
    </row>
    <row r="13" spans="1:3" ht="19.5" customHeight="1" x14ac:dyDescent="0.25">
      <c r="A13" s="24"/>
      <c r="B13" s="27"/>
      <c r="C13" s="28" t="s">
        <v>49</v>
      </c>
    </row>
    <row r="14" spans="1:3" ht="7.5" customHeight="1" x14ac:dyDescent="0.25"/>
    <row r="15" spans="1:3" ht="19.5" customHeight="1" x14ac:dyDescent="0.25">
      <c r="A15" s="24" t="s">
        <v>50</v>
      </c>
      <c r="B15" s="25" t="s">
        <v>51</v>
      </c>
      <c r="C15" s="26" t="s">
        <v>52</v>
      </c>
    </row>
    <row r="16" spans="1:3" ht="19.5" customHeight="1" x14ac:dyDescent="0.25">
      <c r="A16" s="24"/>
      <c r="B16" s="27" t="s">
        <v>53</v>
      </c>
      <c r="C16" s="28" t="s">
        <v>54</v>
      </c>
    </row>
    <row r="17" spans="1:3" ht="19.5" customHeight="1" x14ac:dyDescent="0.25">
      <c r="A17" s="24"/>
      <c r="B17" s="27" t="s">
        <v>55</v>
      </c>
      <c r="C17" s="28" t="s">
        <v>56</v>
      </c>
    </row>
    <row r="18" spans="1:3" ht="19.5" customHeight="1" x14ac:dyDescent="0.25">
      <c r="A18" s="24"/>
      <c r="B18" s="27" t="s">
        <v>57</v>
      </c>
      <c r="C18" s="28" t="s">
        <v>58</v>
      </c>
    </row>
    <row r="19" spans="1:3" ht="19.5" customHeight="1" x14ac:dyDescent="0.25">
      <c r="A19" s="24"/>
      <c r="B19" s="27" t="s">
        <v>59</v>
      </c>
      <c r="C19" s="28" t="s">
        <v>60</v>
      </c>
    </row>
    <row r="20" spans="1:3" ht="19.5" customHeight="1" x14ac:dyDescent="0.25">
      <c r="A20" s="24"/>
      <c r="B20" s="27" t="s">
        <v>61</v>
      </c>
      <c r="C20" s="28" t="s">
        <v>62</v>
      </c>
    </row>
    <row r="21" spans="1:3" ht="19.5" customHeight="1" x14ac:dyDescent="0.25">
      <c r="A21" s="24"/>
      <c r="B21" s="27" t="s">
        <v>63</v>
      </c>
      <c r="C21" s="28" t="s">
        <v>64</v>
      </c>
    </row>
    <row r="22" spans="1:3" ht="7.5" customHeight="1" x14ac:dyDescent="0.25"/>
    <row r="23" spans="1:3" ht="19.5" customHeight="1" x14ac:dyDescent="0.25">
      <c r="A23" s="24" t="s">
        <v>65</v>
      </c>
      <c r="B23" s="25" t="s">
        <v>66</v>
      </c>
      <c r="C23" s="26" t="s">
        <v>67</v>
      </c>
    </row>
    <row r="24" spans="1:3" ht="7.5" customHeight="1" x14ac:dyDescent="0.25"/>
    <row r="25" spans="1:3" ht="19.5" customHeight="1" x14ac:dyDescent="0.25">
      <c r="A25" s="24" t="s">
        <v>68</v>
      </c>
      <c r="B25" s="25" t="s">
        <v>69</v>
      </c>
      <c r="C25" s="26" t="s">
        <v>70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Pesagem</vt:lpstr>
      <vt:lpstr>📋 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Rogerio Avelino</cp:lastModifiedBy>
  <cp:revision>0</cp:revision>
  <dcterms:created xsi:type="dcterms:W3CDTF">2026-05-25T01:16:38Z</dcterms:created>
  <dcterms:modified xsi:type="dcterms:W3CDTF">2026-06-03T15:34:15Z</dcterms:modified>
  <dc:language>en-US</dc:language>
</cp:coreProperties>
</file>