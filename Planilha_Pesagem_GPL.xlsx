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Consultoria Rogério\App\App_Sistema\"/>
    </mc:Choice>
  </mc:AlternateContent>
  <xr:revisionPtr revIDLastSave="0" documentId="13_ncr:1_{D615C52E-7EFE-462C-A65E-FC05226009B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sagem" sheetId="1" r:id="rId1"/>
    <sheet name="📋 Instruções" sheetId="2" r:id="rId2"/>
  </sheets>
  <definedNames>
    <definedName name="_xlnm._FilterDatabase" localSheetId="0" hidden="1">Pesagem!$A$13:$H$13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9" i="1" l="1"/>
  <c r="D154" i="1" l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K8" i="1" l="1"/>
  <c r="K9" i="1" s="1"/>
  <c r="J8" i="1"/>
  <c r="J9" i="1" s="1"/>
  <c r="I8" i="1"/>
  <c r="I9" i="1" s="1"/>
  <c r="H8" i="1"/>
  <c r="H9" i="1" s="1"/>
  <c r="G8" i="1"/>
  <c r="G9" i="1" s="1"/>
  <c r="F8" i="1"/>
  <c r="F9" i="1" s="1"/>
  <c r="E8" i="1"/>
  <c r="E9" i="1" s="1"/>
  <c r="D8" i="1"/>
  <c r="D9" i="1" s="1"/>
  <c r="C8" i="1"/>
  <c r="C9" i="1" s="1"/>
  <c r="B8" i="1"/>
  <c r="B9" i="1" s="1"/>
  <c r="K7" i="1"/>
  <c r="K10" i="1" s="1"/>
  <c r="J7" i="1"/>
  <c r="J10" i="1" s="1"/>
  <c r="I7" i="1"/>
  <c r="I10" i="1" s="1"/>
  <c r="H7" i="1"/>
  <c r="H10" i="1" s="1"/>
  <c r="G7" i="1"/>
  <c r="G10" i="1" s="1"/>
  <c r="F7" i="1"/>
  <c r="F10" i="1" s="1"/>
  <c r="E7" i="1"/>
  <c r="E10" i="1" s="1"/>
  <c r="D7" i="1"/>
  <c r="D10" i="1" s="1"/>
  <c r="C7" i="1"/>
  <c r="C10" i="1" s="1"/>
  <c r="B7" i="1"/>
  <c r="B10" i="1" s="1"/>
  <c r="K6" i="1"/>
  <c r="J6" i="1"/>
  <c r="I6" i="1"/>
  <c r="H6" i="1"/>
  <c r="G6" i="1"/>
  <c r="F6" i="1"/>
  <c r="E6" i="1"/>
  <c r="D6" i="1"/>
  <c r="C6" i="1"/>
  <c r="B6" i="1"/>
  <c r="L7" i="1" l="1"/>
  <c r="L6" i="1"/>
  <c r="F11" i="1" l="1"/>
  <c r="K11" i="1"/>
  <c r="C11" i="1"/>
  <c r="E11" i="1"/>
  <c r="I11" i="1"/>
  <c r="L8" i="1"/>
  <c r="L10" i="1"/>
  <c r="J11" i="1"/>
  <c r="B11" i="1"/>
  <c r="H11" i="1"/>
  <c r="G11" i="1"/>
  <c r="D11" i="1"/>
</calcChain>
</file>

<file path=xl/sharedStrings.xml><?xml version="1.0" encoding="utf-8"?>
<sst xmlns="http://schemas.openxmlformats.org/spreadsheetml/2006/main" count="71" uniqueCount="71">
  <si>
    <t>PLANILHA DE PESAGEM DE GADO</t>
  </si>
  <si>
    <t>Fazenda:</t>
  </si>
  <si>
    <t>Data:</t>
  </si>
  <si>
    <t>Responsável:</t>
  </si>
  <si>
    <t>Rogério Avelino</t>
  </si>
  <si>
    <t>RESUMO AUTOMÁTICO POR LOTE  —  atualiza conforme você digita</t>
  </si>
  <si>
    <t>LOTE</t>
  </si>
  <si>
    <t>LOTE 1</t>
  </si>
  <si>
    <t>LOTE 2</t>
  </si>
  <si>
    <t>LOTE 3</t>
  </si>
  <si>
    <t>LOTE 4</t>
  </si>
  <si>
    <t>LOTE 5</t>
  </si>
  <si>
    <t>LOTE 6</t>
  </si>
  <si>
    <t>LOTE 7</t>
  </si>
  <si>
    <t>LOTE 8</t>
  </si>
  <si>
    <t>LOTE 9</t>
  </si>
  <si>
    <t>LOTE 10</t>
  </si>
  <si>
    <t>TOTAL
GERAL</t>
  </si>
  <si>
    <t>Qtd Animais</t>
  </si>
  <si>
    <t>Peso Total (kg)</t>
  </si>
  <si>
    <t>Média Peso (kg)</t>
  </si>
  <si>
    <t>Média Arrobas (@)</t>
  </si>
  <si>
    <t>UA  (÷ 450)</t>
  </si>
  <si>
    <t>% do Total</t>
  </si>
  <si>
    <t>100%</t>
  </si>
  <si>
    <t xml:space="preserve">  ✏️  PREENCHA:  A = Nº Animal / Brinco   |   B = Peso (kg)   |   C = Nº do Lote (1, 2, 3...)   |   D = Observação   →   Cabeçalho atualiza automaticamente</t>
  </si>
  <si>
    <t>Nº Animal / Brinco</t>
  </si>
  <si>
    <t>Peso (kg)</t>
  </si>
  <si>
    <t>Lote (1 a 10)</t>
  </si>
  <si>
    <t>Observação</t>
  </si>
  <si>
    <t xml:space="preserve">  🐄  Como Usar Esta Planilha  —  Gestão Pecuária Lucrativa  —  (63) 99108-2453</t>
  </si>
  <si>
    <t>1️⃣</t>
  </si>
  <si>
    <t>CABEÇALHO</t>
  </si>
  <si>
    <t>Preencha: célula I2 = nome da fazenda  |  H3 = data  |  K3 = responsável</t>
  </si>
  <si>
    <t>2️⃣</t>
  </si>
  <si>
    <t>DIGITANDO</t>
  </si>
  <si>
    <t>A partir da linha 16, preencha 4 campos por animal:</t>
  </si>
  <si>
    <t>Coluna A →</t>
  </si>
  <si>
    <t>Número ou brinco do animal  (ex: 0001, BT-42)</t>
  </si>
  <si>
    <t>Coluna B →</t>
  </si>
  <si>
    <t>Peso em kg  (ex: 385,  412.5)</t>
  </si>
  <si>
    <t>Coluna C →</t>
  </si>
  <si>
    <t>NÚMERO DO LOTE: use 1, 2, 3, 4...  ← define os grupos!</t>
  </si>
  <si>
    <t>Coluna D →</t>
  </si>
  <si>
    <t>Observação  (gerada automaticamente se animal repetido)</t>
  </si>
  <si>
    <t>⚠️</t>
  </si>
  <si>
    <t>ANIMAL REPETIDO</t>
  </si>
  <si>
    <t>Se o Nº Animal da coluna A já foi digitado antes:</t>
  </si>
  <si>
    <t>→ A linha fica VERMELHA automaticamente</t>
  </si>
  <si>
    <t>→ A coluna D mostra: ⚠️ JÁ PESADO! Peso: 385.0 kg  Lote: 2</t>
  </si>
  <si>
    <t>3️⃣</t>
  </si>
  <si>
    <t>RESUMO AUTOMÁTICO</t>
  </si>
  <si>
    <t>Linhas 6-12 atualizam enquanto você digita:</t>
  </si>
  <si>
    <t>Qtd Animais →</t>
  </si>
  <si>
    <t>Quantos animais naquele lote</t>
  </si>
  <si>
    <t>Peso Total →</t>
  </si>
  <si>
    <t>Soma dos pesos do lote</t>
  </si>
  <si>
    <t>Média Peso →</t>
  </si>
  <si>
    <t>Média de kg por cabeça</t>
  </si>
  <si>
    <t>Média Arrobas →</t>
  </si>
  <si>
    <t>Peso médio ÷ 15</t>
  </si>
  <si>
    <t>UA →</t>
  </si>
  <si>
    <t>Peso total ÷ 450</t>
  </si>
  <si>
    <t>% do Total →</t>
  </si>
  <si>
    <t>Participação do lote no total</t>
  </si>
  <si>
    <t>4️⃣</t>
  </si>
  <si>
    <t>NOMES DOS LOTES</t>
  </si>
  <si>
    <t>Você pode editar 'LOTE 1' para: Boi Gordo, Novilha, Garrote...</t>
  </si>
  <si>
    <t>5️⃣</t>
  </si>
  <si>
    <t>ENVIO</t>
  </si>
  <si>
    <t>Salve e envie para:  📞 (63) 99108-2453  |  @gestaolucrativa.pecuaria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</si>
</sst>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AAFFAA"/>
      <name val="Arial"/>
      <charset val="1"/>
    </font>
    <font>
      <b/>
      <sz val="11"/>
      <color rgb="FF1B5E20"/>
      <name val="Arial"/>
      <charset val="1"/>
    </font>
    <font>
      <sz val="10"/>
      <color rgb="FF111111"/>
      <name val="Arial"/>
      <charset val="1"/>
    </font>
    <font>
      <b/>
      <sz val="9"/>
      <color rgb="FFFFFFFF"/>
      <name val="Arial"/>
      <charset val="1"/>
    </font>
    <font>
      <b/>
      <sz val="9"/>
      <color rgb="FF1B5E20"/>
      <name val="Arial"/>
      <charset val="1"/>
    </font>
    <font>
      <b/>
      <sz val="10"/>
      <color rgb="FFFFFFFF"/>
      <name val="Arial"/>
      <charset val="1"/>
    </font>
    <font>
      <b/>
      <sz val="12"/>
      <color rgb="FF1B5E20"/>
      <name val="Arial"/>
      <charset val="1"/>
    </font>
    <font>
      <b/>
      <sz val="10"/>
      <color rgb="FF1B5E20"/>
      <name val="Arial"/>
      <charset val="1"/>
    </font>
    <font>
      <b/>
      <sz val="10"/>
      <color rgb="FF1565C0"/>
      <name val="Arial"/>
      <charset val="1"/>
    </font>
    <font>
      <sz val="10"/>
      <color rgb="FFE65100"/>
      <name val="Arial"/>
      <charset val="1"/>
    </font>
    <font>
      <sz val="10"/>
      <color rgb="FF555555"/>
      <name val="Arial"/>
      <charset val="1"/>
    </font>
    <font>
      <sz val="9"/>
      <color rgb="FF777777"/>
      <name val="Arial"/>
      <charset val="1"/>
    </font>
    <font>
      <b/>
      <sz val="10"/>
      <color rgb="FF111111"/>
      <name val="Arial"/>
      <charset val="1"/>
    </font>
    <font>
      <b/>
      <sz val="9"/>
      <color rgb="FFC62828"/>
      <name val="Arial"/>
      <charset val="1"/>
    </font>
    <font>
      <b/>
      <sz val="14"/>
      <color rgb="FFFFFFFF"/>
      <name val="Arial"/>
      <charset val="1"/>
    </font>
    <font>
      <b/>
      <sz val="12"/>
      <color rgb="FF111111"/>
      <name val="Arial"/>
      <charset val="1"/>
    </font>
    <font>
      <b/>
      <sz val="10"/>
      <color rgb="FF333333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FFFDE7"/>
        <bgColor rgb="FFFFFBEA"/>
      </patternFill>
    </fill>
    <fill>
      <patternFill patternType="solid">
        <fgColor rgb="FF2E7D32"/>
        <bgColor rgb="FF388E3C"/>
      </patternFill>
    </fill>
    <fill>
      <patternFill patternType="solid">
        <fgColor rgb="FFE8F5E9"/>
        <bgColor rgb="FFF5F5F5"/>
      </patternFill>
    </fill>
    <fill>
      <patternFill patternType="solid">
        <fgColor rgb="FF388E3C"/>
        <bgColor rgb="FF2E7D32"/>
      </patternFill>
    </fill>
    <fill>
      <patternFill patternType="solid">
        <fgColor rgb="FFFFFFFF"/>
        <bgColor rgb="FFFFFBEA"/>
      </patternFill>
    </fill>
    <fill>
      <patternFill patternType="solid">
        <fgColor rgb="FFF5F5F5"/>
        <bgColor rgb="FFFFFBEA"/>
      </patternFill>
    </fill>
    <fill>
      <patternFill patternType="solid">
        <fgColor rgb="FFFFFBEA"/>
        <bgColor rgb="FFFFFDE7"/>
      </patternFill>
    </fill>
    <fill>
      <patternFill patternType="solid">
        <fgColor rgb="FFD4EDD4"/>
        <bgColor rgb="FFE8F5E9"/>
      </patternFill>
    </fill>
  </fills>
  <borders count="14">
    <border>
      <left/>
      <right/>
      <top/>
      <bottom/>
      <diagonal/>
    </border>
    <border>
      <left style="medium">
        <color rgb="FF1B5E20"/>
      </left>
      <right/>
      <top style="medium">
        <color rgb="FF1B5E20"/>
      </top>
      <bottom style="medium">
        <color rgb="FF1B5E2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medium">
        <color rgb="FF1B5E20"/>
      </left>
      <right/>
      <top style="medium">
        <color rgb="FF1B5E20"/>
      </top>
      <bottom/>
      <diagonal/>
    </border>
    <border>
      <left/>
      <right/>
      <top style="medium">
        <color rgb="FF1B5E20"/>
      </top>
      <bottom/>
      <diagonal/>
    </border>
    <border>
      <left style="thin">
        <color rgb="FFAAAAAA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1B5E20"/>
      </left>
      <right style="thin">
        <color indexed="64"/>
      </right>
      <top style="medium">
        <color rgb="FF1B5E20"/>
      </top>
      <bottom style="medium">
        <color rgb="FF1B5E20"/>
      </bottom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/>
      <top/>
      <bottom style="thin">
        <color indexed="64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7" fillId="6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3" fontId="8" fillId="7" borderId="2" xfId="0" applyNumberFormat="1" applyFont="1" applyFill="1" applyBorder="1" applyAlignment="1">
      <alignment horizontal="center" vertical="center"/>
    </xf>
    <xf numFmtId="3" fontId="9" fillId="5" borderId="4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164" fontId="10" fillId="5" borderId="4" xfId="0" applyNumberFormat="1" applyFont="1" applyFill="1" applyBorder="1" applyAlignment="1">
      <alignment horizontal="center" vertical="center"/>
    </xf>
    <xf numFmtId="164" fontId="4" fillId="8" borderId="2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4" fontId="11" fillId="8" borderId="2" xfId="0" applyNumberFormat="1" applyFont="1" applyFill="1" applyBorder="1" applyAlignment="1">
      <alignment horizontal="center" vertical="center"/>
    </xf>
    <xf numFmtId="4" fontId="11" fillId="5" borderId="4" xfId="0" applyNumberFormat="1" applyFont="1" applyFill="1" applyBorder="1" applyAlignment="1">
      <alignment horizontal="center" vertical="center"/>
    </xf>
    <xf numFmtId="4" fontId="12" fillId="8" borderId="2" xfId="0" applyNumberFormat="1" applyFont="1" applyFill="1" applyBorder="1" applyAlignment="1">
      <alignment horizontal="center" vertical="center"/>
    </xf>
    <xf numFmtId="4" fontId="4" fillId="5" borderId="4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64" fontId="14" fillId="3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4" fontId="14" fillId="9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right" vertical="center"/>
    </xf>
    <xf numFmtId="0" fontId="19" fillId="0" borderId="0" xfId="0" applyFont="1" applyAlignment="1">
      <alignment horizontal="left" vertical="center" wrapText="1"/>
    </xf>
    <xf numFmtId="0" fontId="6" fillId="5" borderId="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5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0" fillId="2" borderId="0" xfId="0" applyFill="1"/>
    <xf numFmtId="0" fontId="1" fillId="2" borderId="0" xfId="0" applyFont="1" applyFill="1" applyAlignment="1">
      <alignment vertical="center"/>
    </xf>
    <xf numFmtId="0" fontId="6" fillId="3" borderId="1" xfId="0" applyFont="1" applyFill="1" applyBorder="1" applyAlignment="1">
      <alignment vertical="center"/>
    </xf>
    <xf numFmtId="0" fontId="6" fillId="3" borderId="9" xfId="0" applyFont="1" applyFill="1" applyBorder="1" applyAlignment="1">
      <alignment vertical="center"/>
    </xf>
    <xf numFmtId="0" fontId="15" fillId="8" borderId="8" xfId="0" applyFont="1" applyFill="1" applyBorder="1" applyAlignment="1">
      <alignment horizontal="left" vertical="center"/>
    </xf>
    <xf numFmtId="0" fontId="15" fillId="7" borderId="8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right" vertical="center"/>
    </xf>
    <xf numFmtId="0" fontId="2" fillId="2" borderId="10" xfId="0" applyFont="1" applyFill="1" applyBorder="1" applyAlignment="1">
      <alignment horizontal="right" vertical="center"/>
    </xf>
    <xf numFmtId="0" fontId="4" fillId="3" borderId="0" xfId="0" applyFont="1" applyFill="1" applyBorder="1" applyAlignment="1">
      <alignment horizontal="left" vertical="center"/>
    </xf>
    <xf numFmtId="14" fontId="4" fillId="3" borderId="1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EBEE"/>
        </patternFill>
      </fill>
    </dxf>
    <dxf>
      <fill>
        <patternFill>
          <bgColor rgb="FFFFEBEE"/>
        </patternFill>
      </fill>
    </dxf>
    <dxf>
      <font>
        <b/>
        <color rgb="FFC62828"/>
        <name val="Arial"/>
        <charset val="1"/>
      </font>
      <fill>
        <patternFill>
          <bgColor rgb="FFFFEBE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4EDD4"/>
      <rgbColor rgb="FFFFFBEA"/>
      <rgbColor rgb="FFAAFFAA"/>
      <rgbColor rgb="FFFF99CC"/>
      <rgbColor rgb="FFCC99FF"/>
      <rgbColor rgb="FFFFEBEE"/>
      <rgbColor rgb="FF3366FF"/>
      <rgbColor rgb="FF33CCCC"/>
      <rgbColor rgb="FF99CC00"/>
      <rgbColor rgb="FFFFCC00"/>
      <rgbColor rgb="FFFF9900"/>
      <rgbColor rgb="FFE65100"/>
      <rgbColor rgb="FF555555"/>
      <rgbColor rgb="FFAAAAAA"/>
      <rgbColor rgb="FF003366"/>
      <rgbColor rgb="FF388E3C"/>
      <rgbColor rgb="FF111111"/>
      <rgbColor rgb="FF1B5E2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331721</xdr:colOff>
      <xdr:row>0</xdr:row>
      <xdr:rowOff>243509</xdr:rowOff>
    </xdr:from>
    <xdr:to>
      <xdr:col>1</xdr:col>
      <xdr:colOff>472111</xdr:colOff>
      <xdr:row>2</xdr:row>
      <xdr:rowOff>49697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31721" y="243509"/>
          <a:ext cx="1283390" cy="5433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3"/>
  <sheetViews>
    <sheetView showGridLines="0" tabSelected="1" zoomScale="115" zoomScaleNormal="115" workbookViewId="0">
      <pane ySplit="13" topLeftCell="A14" activePane="bottomLeft" state="frozen"/>
      <selection pane="bottomLeft" activeCell="L10" sqref="L10"/>
    </sheetView>
  </sheetViews>
  <sheetFormatPr defaultColWidth="8.7109375" defaultRowHeight="15" x14ac:dyDescent="0.25"/>
  <cols>
    <col min="1" max="1" width="17.140625" customWidth="1"/>
    <col min="2" max="2" width="10" customWidth="1"/>
    <col min="3" max="3" width="12.7109375" customWidth="1"/>
    <col min="4" max="11" width="10" customWidth="1"/>
    <col min="12" max="12" width="12.140625" customWidth="1"/>
    <col min="13" max="15" width="14" customWidth="1"/>
    <col min="16" max="16" width="16" customWidth="1"/>
  </cols>
  <sheetData>
    <row r="1" spans="1:12" ht="36.75" customHeight="1" x14ac:dyDescent="0.25">
      <c r="A1" s="28"/>
      <c r="B1" s="28"/>
      <c r="C1" s="29" t="s">
        <v>0</v>
      </c>
      <c r="D1" s="29"/>
      <c r="E1" s="29"/>
      <c r="F1" s="29"/>
      <c r="G1" s="29"/>
      <c r="H1" s="29"/>
      <c r="I1" s="29"/>
      <c r="J1" s="29"/>
      <c r="K1" s="29"/>
      <c r="L1" s="29"/>
    </row>
    <row r="2" spans="1:12" ht="21.75" customHeight="1" x14ac:dyDescent="0.25">
      <c r="A2" s="28"/>
      <c r="B2" s="28"/>
      <c r="C2" s="25" t="s">
        <v>1</v>
      </c>
      <c r="D2" s="44"/>
      <c r="E2" s="45"/>
      <c r="F2" s="45"/>
      <c r="G2" s="45"/>
      <c r="H2" s="45"/>
      <c r="I2" s="45"/>
      <c r="J2" s="45"/>
      <c r="K2" s="29"/>
      <c r="L2" s="29"/>
    </row>
    <row r="3" spans="1:12" ht="24.75" customHeight="1" x14ac:dyDescent="0.25">
      <c r="A3" s="28"/>
      <c r="B3" s="28"/>
      <c r="C3" s="25" t="s">
        <v>2</v>
      </c>
      <c r="D3" s="43">
        <v>46167</v>
      </c>
      <c r="E3" s="40" t="s">
        <v>3</v>
      </c>
      <c r="F3" s="41"/>
      <c r="G3" s="34" t="s">
        <v>4</v>
      </c>
      <c r="H3" s="42"/>
      <c r="I3" s="42"/>
      <c r="J3" s="42"/>
      <c r="K3" s="29"/>
      <c r="L3" s="29"/>
    </row>
    <row r="4" spans="1:12" ht="21.75" customHeight="1" thickBot="1" x14ac:dyDescent="0.3">
      <c r="A4" s="35" t="s">
        <v>5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</row>
    <row r="5" spans="1:12" ht="24.75" customHeight="1" thickBot="1" x14ac:dyDescent="0.3">
      <c r="A5" s="24" t="s">
        <v>6</v>
      </c>
      <c r="B5" s="1" t="s">
        <v>7</v>
      </c>
      <c r="C5" s="1" t="s">
        <v>8</v>
      </c>
      <c r="D5" s="1" t="s">
        <v>9</v>
      </c>
      <c r="E5" s="1" t="s">
        <v>10</v>
      </c>
      <c r="F5" s="1" t="s">
        <v>11</v>
      </c>
      <c r="G5" s="1" t="s">
        <v>12</v>
      </c>
      <c r="H5" s="1" t="s">
        <v>13</v>
      </c>
      <c r="I5" s="1" t="s">
        <v>14</v>
      </c>
      <c r="J5" s="1" t="s">
        <v>15</v>
      </c>
      <c r="K5" s="1" t="s">
        <v>16</v>
      </c>
      <c r="L5" s="2" t="s">
        <v>17</v>
      </c>
    </row>
    <row r="6" spans="1:12" ht="15.75" customHeight="1" thickBot="1" x14ac:dyDescent="0.3">
      <c r="A6" s="24" t="s">
        <v>18</v>
      </c>
      <c r="B6" s="3">
        <f>COUNTIF(C14:C513,1)</f>
        <v>0</v>
      </c>
      <c r="C6" s="3">
        <f>COUNTIF(C14:C513,2)</f>
        <v>0</v>
      </c>
      <c r="D6" s="3">
        <f>COUNTIF(C14:C513,3)</f>
        <v>0</v>
      </c>
      <c r="E6" s="3">
        <f>COUNTIF(C14:C513,4)</f>
        <v>0</v>
      </c>
      <c r="F6" s="3">
        <f>COUNTIF(C14:C513,5)</f>
        <v>0</v>
      </c>
      <c r="G6" s="3">
        <f>COUNTIF(C14:C513,6)</f>
        <v>0</v>
      </c>
      <c r="H6" s="3">
        <f>COUNTIF(C14:C513,7)</f>
        <v>0</v>
      </c>
      <c r="I6" s="3">
        <f>COUNTIF(C14:C513,8)</f>
        <v>0</v>
      </c>
      <c r="J6" s="3">
        <f>COUNTIF(C14:C513,9)</f>
        <v>0</v>
      </c>
      <c r="K6" s="3">
        <f>COUNTIF(C14:C513,10)</f>
        <v>0</v>
      </c>
      <c r="L6" s="4">
        <f>B6+C6+D6+E6+F6+G6+H6+I6+J6+K6</f>
        <v>0</v>
      </c>
    </row>
    <row r="7" spans="1:12" ht="15.75" customHeight="1" thickBot="1" x14ac:dyDescent="0.3">
      <c r="A7" s="24" t="s">
        <v>19</v>
      </c>
      <c r="B7" s="5">
        <f>IFERROR(SUMIF(C14:C513,1,B14:B513),"")</f>
        <v>0</v>
      </c>
      <c r="C7" s="5">
        <f>IFERROR(SUMIF(C14:C513,2,B14:B513),"")</f>
        <v>0</v>
      </c>
      <c r="D7" s="5">
        <f>IFERROR(SUMIF(C14:C513,3,B14:B513),"")</f>
        <v>0</v>
      </c>
      <c r="E7" s="5">
        <f>IFERROR(SUMIF(C14:C513,4,B14:B513),"")</f>
        <v>0</v>
      </c>
      <c r="F7" s="5">
        <f>IFERROR(SUMIF(C14:C513,5,B14:B513),"")</f>
        <v>0</v>
      </c>
      <c r="G7" s="5">
        <f>IFERROR(SUMIF(C14:C513,6,B14:B513),"")</f>
        <v>0</v>
      </c>
      <c r="H7" s="5">
        <f>IFERROR(SUMIF(C14:C513,7,B14:B513),"")</f>
        <v>0</v>
      </c>
      <c r="I7" s="5">
        <f>IFERROR(SUMIF(C14:C513,8,B14:B513),"")</f>
        <v>0</v>
      </c>
      <c r="J7" s="5">
        <f>IFERROR(SUMIF(C14:C513,9,B14:B513),"")</f>
        <v>0</v>
      </c>
      <c r="K7" s="5">
        <f>IFERROR(SUMIF(C14:C513,10,B14:B513),"")</f>
        <v>0</v>
      </c>
      <c r="L7" s="6">
        <f>IFERROR(B7,0)+IFERROR(C7,0)+IFERROR(D7,0)+IFERROR(E7,0)+IFERROR(F7,0)+IFERROR(G7,0)+IFERROR(H7,0)+IFERROR(I7,0)+IFERROR(J7,0)+IFERROR(K7,0)</f>
        <v>0</v>
      </c>
    </row>
    <row r="8" spans="1:12" ht="15.75" customHeight="1" thickBot="1" x14ac:dyDescent="0.3">
      <c r="A8" s="24" t="s">
        <v>20</v>
      </c>
      <c r="B8" s="7" t="str">
        <f>IFERROR(AVERAGEIF(C14:C513,1,B14:B513),"")</f>
        <v/>
      </c>
      <c r="C8" s="7" t="str">
        <f>IFERROR(AVERAGEIF(C14:C513,2,B14:B513),"")</f>
        <v/>
      </c>
      <c r="D8" s="7" t="str">
        <f>IFERROR(AVERAGEIF(C14:C513,3,B14:B513),"")</f>
        <v/>
      </c>
      <c r="E8" s="7" t="str">
        <f>IFERROR(AVERAGEIF(C14:C513,4,B14:B513),"")</f>
        <v/>
      </c>
      <c r="F8" s="7" t="str">
        <f>IFERROR(AVERAGEIF(C14:C513,5,B14:B513),"")</f>
        <v/>
      </c>
      <c r="G8" s="7" t="str">
        <f>IFERROR(AVERAGEIF(C14:C513,6,B14:B513),"")</f>
        <v/>
      </c>
      <c r="H8" s="7" t="str">
        <f>IFERROR(AVERAGEIF(C14:C513,7,B14:B513),"")</f>
        <v/>
      </c>
      <c r="I8" s="7" t="str">
        <f>IFERROR(AVERAGEIF(C14:C513,8,B14:B513),"")</f>
        <v/>
      </c>
      <c r="J8" s="7" t="str">
        <f>IFERROR(AVERAGEIF(C14:C513,9,B14:B513),"")</f>
        <v/>
      </c>
      <c r="K8" s="7" t="str">
        <f>IFERROR(AVERAGEIF(C14:C513,10,B14:B513),"")</f>
        <v/>
      </c>
      <c r="L8" s="8" t="str">
        <f>IFERROR(L7/L6,"")</f>
        <v/>
      </c>
    </row>
    <row r="9" spans="1:12" ht="15.75" customHeight="1" thickBot="1" x14ac:dyDescent="0.3">
      <c r="A9" s="24" t="s">
        <v>21</v>
      </c>
      <c r="B9" s="9" t="str">
        <f>IFERROR(B8/30,"")</f>
        <v/>
      </c>
      <c r="C9" s="9" t="str">
        <f t="shared" ref="C9:K9" si="0">IFERROR(C8/30,"")</f>
        <v/>
      </c>
      <c r="D9" s="9" t="str">
        <f t="shared" si="0"/>
        <v/>
      </c>
      <c r="E9" s="9" t="str">
        <f t="shared" si="0"/>
        <v/>
      </c>
      <c r="F9" s="9" t="str">
        <f t="shared" si="0"/>
        <v/>
      </c>
      <c r="G9" s="9" t="str">
        <f t="shared" si="0"/>
        <v/>
      </c>
      <c r="H9" s="9" t="str">
        <f t="shared" si="0"/>
        <v/>
      </c>
      <c r="I9" s="9" t="str">
        <f t="shared" si="0"/>
        <v/>
      </c>
      <c r="J9" s="9" t="str">
        <f t="shared" si="0"/>
        <v/>
      </c>
      <c r="K9" s="9" t="str">
        <f t="shared" si="0"/>
        <v/>
      </c>
      <c r="L9" s="10" t="str">
        <f>IFERROR(L8/30,"")</f>
        <v/>
      </c>
    </row>
    <row r="10" spans="1:12" ht="15.75" customHeight="1" thickBot="1" x14ac:dyDescent="0.3">
      <c r="A10" s="24" t="s">
        <v>22</v>
      </c>
      <c r="B10" s="11">
        <f t="shared" ref="B10:L10" si="1">IFERROR(B7/450,"")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 t="shared" si="1"/>
        <v>0</v>
      </c>
      <c r="I10" s="11">
        <f t="shared" si="1"/>
        <v>0</v>
      </c>
      <c r="J10" s="11">
        <f t="shared" si="1"/>
        <v>0</v>
      </c>
      <c r="K10" s="11">
        <f t="shared" si="1"/>
        <v>0</v>
      </c>
      <c r="L10" s="12">
        <f t="shared" si="1"/>
        <v>0</v>
      </c>
    </row>
    <row r="11" spans="1:12" ht="15.75" customHeight="1" thickBot="1" x14ac:dyDescent="0.3">
      <c r="A11" s="24" t="s">
        <v>23</v>
      </c>
      <c r="B11" s="13" t="str">
        <f>IFERROR(B6/L6,"")</f>
        <v/>
      </c>
      <c r="C11" s="13" t="str">
        <f>IFERROR(C6/L6,"")</f>
        <v/>
      </c>
      <c r="D11" s="13" t="str">
        <f>IFERROR(D6/L6,"")</f>
        <v/>
      </c>
      <c r="E11" s="13" t="str">
        <f>IFERROR(E6/L6,"")</f>
        <v/>
      </c>
      <c r="F11" s="13" t="str">
        <f>IFERROR(F6/L6,"")</f>
        <v/>
      </c>
      <c r="G11" s="13" t="str">
        <f>IFERROR(G6/L6,"")</f>
        <v/>
      </c>
      <c r="H11" s="13" t="str">
        <f>IFERROR(H6/L6,"")</f>
        <v/>
      </c>
      <c r="I11" s="13" t="str">
        <f>IFERROR(I6/L6,"")</f>
        <v/>
      </c>
      <c r="J11" s="13" t="str">
        <f>IFERROR(J6/L6,"")</f>
        <v/>
      </c>
      <c r="K11" s="13" t="str">
        <f>IFERROR(K6/L6,"")</f>
        <v/>
      </c>
      <c r="L11" s="14" t="s">
        <v>24</v>
      </c>
    </row>
    <row r="12" spans="1:12" ht="16.5" customHeight="1" thickBot="1" x14ac:dyDescent="0.3">
      <c r="A12" s="30" t="s">
        <v>25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1"/>
    </row>
    <row r="13" spans="1:12" ht="19.5" customHeight="1" thickBot="1" x14ac:dyDescent="0.3">
      <c r="A13" s="2" t="s">
        <v>26</v>
      </c>
      <c r="B13" s="2" t="s">
        <v>27</v>
      </c>
      <c r="C13" s="2" t="s">
        <v>28</v>
      </c>
      <c r="D13" s="37" t="s">
        <v>29</v>
      </c>
      <c r="E13" s="38"/>
      <c r="F13" s="38"/>
      <c r="G13" s="38"/>
      <c r="H13" s="38"/>
    </row>
    <row r="14" spans="1:12" ht="16.5" customHeight="1" x14ac:dyDescent="0.25">
      <c r="A14" s="15"/>
      <c r="B14" s="16"/>
      <c r="C14" s="26"/>
      <c r="D14" s="33"/>
      <c r="E14" s="33"/>
      <c r="F14" s="33"/>
      <c r="G14" s="33"/>
      <c r="H14" s="33"/>
    </row>
    <row r="15" spans="1:12" ht="16.5" customHeight="1" x14ac:dyDescent="0.25">
      <c r="A15" s="17"/>
      <c r="B15" s="18"/>
      <c r="C15" s="27"/>
      <c r="D15" s="32"/>
      <c r="E15" s="32"/>
      <c r="F15" s="32"/>
      <c r="G15" s="32"/>
      <c r="H15" s="32"/>
    </row>
    <row r="16" spans="1:12" ht="16.5" customHeight="1" x14ac:dyDescent="0.25">
      <c r="A16" s="15"/>
      <c r="B16" s="16"/>
      <c r="C16" s="26"/>
      <c r="D16" s="33"/>
      <c r="E16" s="33"/>
      <c r="F16" s="33"/>
      <c r="G16" s="33"/>
      <c r="H16" s="33"/>
    </row>
    <row r="17" spans="1:8" ht="16.5" customHeight="1" x14ac:dyDescent="0.25">
      <c r="A17" s="17"/>
      <c r="B17" s="18"/>
      <c r="C17" s="27"/>
      <c r="D17" s="32"/>
      <c r="E17" s="32"/>
      <c r="F17" s="32"/>
      <c r="G17" s="32"/>
      <c r="H17" s="32"/>
    </row>
    <row r="18" spans="1:8" ht="16.5" customHeight="1" x14ac:dyDescent="0.25">
      <c r="A18" s="15"/>
      <c r="B18" s="16"/>
      <c r="C18" s="26"/>
      <c r="D18" s="33"/>
      <c r="E18" s="33"/>
      <c r="F18" s="33"/>
      <c r="G18" s="33"/>
      <c r="H18" s="33"/>
    </row>
    <row r="19" spans="1:8" ht="16.5" customHeight="1" x14ac:dyDescent="0.25">
      <c r="A19" s="17"/>
      <c r="B19" s="18"/>
      <c r="C19" s="27"/>
      <c r="D19" s="32"/>
      <c r="E19" s="32"/>
      <c r="F19" s="32"/>
      <c r="G19" s="32"/>
      <c r="H19" s="32"/>
    </row>
    <row r="20" spans="1:8" ht="16.5" customHeight="1" x14ac:dyDescent="0.25">
      <c r="A20" s="15"/>
      <c r="B20" s="16"/>
      <c r="C20" s="26"/>
      <c r="D20" s="33"/>
      <c r="E20" s="33"/>
      <c r="F20" s="33"/>
      <c r="G20" s="33"/>
      <c r="H20" s="33"/>
    </row>
    <row r="21" spans="1:8" ht="16.5" customHeight="1" x14ac:dyDescent="0.25">
      <c r="A21" s="17"/>
      <c r="B21" s="18"/>
      <c r="C21" s="27"/>
      <c r="D21" s="32"/>
      <c r="E21" s="32"/>
      <c r="F21" s="32"/>
      <c r="G21" s="32"/>
      <c r="H21" s="32"/>
    </row>
    <row r="22" spans="1:8" ht="16.5" customHeight="1" x14ac:dyDescent="0.25">
      <c r="A22" s="15"/>
      <c r="B22" s="16"/>
      <c r="C22" s="26"/>
      <c r="D22" s="33"/>
      <c r="E22" s="33"/>
      <c r="F22" s="33"/>
      <c r="G22" s="33"/>
      <c r="H22" s="33"/>
    </row>
    <row r="23" spans="1:8" ht="16.5" customHeight="1" x14ac:dyDescent="0.25">
      <c r="A23" s="17"/>
      <c r="B23" s="18"/>
      <c r="C23" s="27"/>
      <c r="D23" s="32"/>
      <c r="E23" s="32"/>
      <c r="F23" s="32"/>
      <c r="G23" s="32"/>
      <c r="H23" s="32"/>
    </row>
    <row r="24" spans="1:8" ht="16.5" customHeight="1" x14ac:dyDescent="0.25">
      <c r="A24" s="15"/>
      <c r="B24" s="16"/>
      <c r="C24" s="26"/>
      <c r="D24" s="33"/>
      <c r="E24" s="33"/>
      <c r="F24" s="33"/>
      <c r="G24" s="33"/>
      <c r="H24" s="33"/>
    </row>
    <row r="25" spans="1:8" ht="16.5" customHeight="1" x14ac:dyDescent="0.25">
      <c r="A25" s="17"/>
      <c r="B25" s="18"/>
      <c r="C25" s="27"/>
      <c r="D25" s="32"/>
      <c r="E25" s="32"/>
      <c r="F25" s="32"/>
      <c r="G25" s="32"/>
      <c r="H25" s="32"/>
    </row>
    <row r="26" spans="1:8" ht="16.5" customHeight="1" x14ac:dyDescent="0.25">
      <c r="A26" s="15"/>
      <c r="B26" s="16"/>
      <c r="C26" s="26"/>
      <c r="D26" s="33"/>
      <c r="E26" s="33"/>
      <c r="F26" s="33"/>
      <c r="G26" s="33"/>
      <c r="H26" s="33"/>
    </row>
    <row r="27" spans="1:8" ht="16.5" customHeight="1" x14ac:dyDescent="0.25">
      <c r="A27" s="17"/>
      <c r="B27" s="18"/>
      <c r="C27" s="27"/>
      <c r="D27" s="32"/>
      <c r="E27" s="32"/>
      <c r="F27" s="32"/>
      <c r="G27" s="32"/>
      <c r="H27" s="32"/>
    </row>
    <row r="28" spans="1:8" ht="16.5" customHeight="1" x14ac:dyDescent="0.25">
      <c r="A28" s="15"/>
      <c r="B28" s="16"/>
      <c r="C28" s="26"/>
      <c r="D28" s="33"/>
      <c r="E28" s="33"/>
      <c r="F28" s="33"/>
      <c r="G28" s="33"/>
      <c r="H28" s="33"/>
    </row>
    <row r="29" spans="1:8" ht="16.5" customHeight="1" x14ac:dyDescent="0.25">
      <c r="A29" s="17"/>
      <c r="B29" s="18"/>
      <c r="C29" s="27"/>
      <c r="D29" s="32"/>
      <c r="E29" s="32"/>
      <c r="F29" s="32"/>
      <c r="G29" s="32"/>
      <c r="H29" s="32"/>
    </row>
    <row r="30" spans="1:8" ht="16.5" customHeight="1" x14ac:dyDescent="0.25">
      <c r="A30" s="15"/>
      <c r="B30" s="16"/>
      <c r="C30" s="26"/>
      <c r="D30" s="33"/>
      <c r="E30" s="33"/>
      <c r="F30" s="33"/>
      <c r="G30" s="33"/>
      <c r="H30" s="33"/>
    </row>
    <row r="31" spans="1:8" ht="16.5" customHeight="1" x14ac:dyDescent="0.25">
      <c r="A31" s="17"/>
      <c r="B31" s="18"/>
      <c r="C31" s="27"/>
      <c r="D31" s="32"/>
      <c r="E31" s="32"/>
      <c r="F31" s="32"/>
      <c r="G31" s="32"/>
      <c r="H31" s="32"/>
    </row>
    <row r="32" spans="1:8" ht="16.5" customHeight="1" x14ac:dyDescent="0.25">
      <c r="A32" s="15"/>
      <c r="B32" s="16"/>
      <c r="C32" s="26"/>
      <c r="D32" s="33"/>
      <c r="E32" s="33"/>
      <c r="F32" s="33"/>
      <c r="G32" s="33"/>
      <c r="H32" s="33"/>
    </row>
    <row r="33" spans="1:8" ht="16.5" customHeight="1" x14ac:dyDescent="0.25">
      <c r="A33" s="17"/>
      <c r="B33" s="18"/>
      <c r="C33" s="27"/>
      <c r="D33" s="32"/>
      <c r="E33" s="32"/>
      <c r="F33" s="32"/>
      <c r="G33" s="32"/>
      <c r="H33" s="32"/>
    </row>
    <row r="34" spans="1:8" ht="16.5" customHeight="1" x14ac:dyDescent="0.25">
      <c r="A34" s="15"/>
      <c r="B34" s="16"/>
      <c r="C34" s="26"/>
      <c r="D34" s="33"/>
      <c r="E34" s="33"/>
      <c r="F34" s="33"/>
      <c r="G34" s="33"/>
      <c r="H34" s="33"/>
    </row>
    <row r="35" spans="1:8" ht="16.5" customHeight="1" x14ac:dyDescent="0.25">
      <c r="A35" s="17"/>
      <c r="B35" s="18"/>
      <c r="C35" s="27"/>
      <c r="D35" s="32"/>
      <c r="E35" s="32"/>
      <c r="F35" s="32"/>
      <c r="G35" s="32"/>
      <c r="H35" s="32"/>
    </row>
    <row r="36" spans="1:8" ht="16.5" customHeight="1" x14ac:dyDescent="0.25">
      <c r="A36" s="15"/>
      <c r="B36" s="16"/>
      <c r="C36" s="26"/>
      <c r="D36" s="33"/>
      <c r="E36" s="33"/>
      <c r="F36" s="33"/>
      <c r="G36" s="33"/>
      <c r="H36" s="33"/>
    </row>
    <row r="37" spans="1:8" ht="16.5" customHeight="1" x14ac:dyDescent="0.25">
      <c r="A37" s="17"/>
      <c r="B37" s="18"/>
      <c r="C37" s="27"/>
      <c r="D37" s="32"/>
      <c r="E37" s="32"/>
      <c r="F37" s="32"/>
      <c r="G37" s="32"/>
      <c r="H37" s="32"/>
    </row>
    <row r="38" spans="1:8" ht="16.5" customHeight="1" x14ac:dyDescent="0.25">
      <c r="A38" s="15"/>
      <c r="B38" s="16"/>
      <c r="C38" s="26"/>
      <c r="D38" s="33"/>
      <c r="E38" s="33"/>
      <c r="F38" s="33"/>
      <c r="G38" s="33"/>
      <c r="H38" s="33"/>
    </row>
    <row r="39" spans="1:8" ht="16.5" customHeight="1" x14ac:dyDescent="0.25">
      <c r="A39" s="17"/>
      <c r="B39" s="18"/>
      <c r="C39" s="27"/>
      <c r="D39" s="32"/>
      <c r="E39" s="32"/>
      <c r="F39" s="32"/>
      <c r="G39" s="32"/>
      <c r="H39" s="32"/>
    </row>
    <row r="40" spans="1:8" ht="16.5" customHeight="1" x14ac:dyDescent="0.25">
      <c r="A40" s="15"/>
      <c r="B40" s="16"/>
      <c r="C40" s="26"/>
      <c r="D40" s="33"/>
      <c r="E40" s="33"/>
      <c r="F40" s="33"/>
      <c r="G40" s="33"/>
      <c r="H40" s="33"/>
    </row>
    <row r="41" spans="1:8" ht="16.5" customHeight="1" x14ac:dyDescent="0.25">
      <c r="A41" s="17"/>
      <c r="B41" s="18"/>
      <c r="C41" s="27"/>
      <c r="D41" s="32"/>
      <c r="E41" s="32"/>
      <c r="F41" s="32"/>
      <c r="G41" s="32"/>
      <c r="H41" s="32"/>
    </row>
    <row r="42" spans="1:8" ht="16.5" customHeight="1" x14ac:dyDescent="0.25">
      <c r="A42" s="15"/>
      <c r="B42" s="16"/>
      <c r="C42" s="26"/>
      <c r="D42" s="33"/>
      <c r="E42" s="33"/>
      <c r="F42" s="33"/>
      <c r="G42" s="33"/>
      <c r="H42" s="33"/>
    </row>
    <row r="43" spans="1:8" ht="16.5" customHeight="1" x14ac:dyDescent="0.25">
      <c r="A43" s="17"/>
      <c r="B43" s="18"/>
      <c r="C43" s="27"/>
      <c r="D43" s="32"/>
      <c r="E43" s="32"/>
      <c r="F43" s="32"/>
      <c r="G43" s="32"/>
      <c r="H43" s="32"/>
    </row>
    <row r="44" spans="1:8" ht="16.5" customHeight="1" x14ac:dyDescent="0.25">
      <c r="A44" s="15"/>
      <c r="B44" s="16"/>
      <c r="C44" s="26"/>
      <c r="D44" s="33"/>
      <c r="E44" s="33"/>
      <c r="F44" s="33"/>
      <c r="G44" s="33"/>
      <c r="H44" s="33"/>
    </row>
    <row r="45" spans="1:8" ht="16.5" customHeight="1" x14ac:dyDescent="0.25">
      <c r="A45" s="17"/>
      <c r="B45" s="18"/>
      <c r="C45" s="27"/>
      <c r="D45" s="32"/>
      <c r="E45" s="32"/>
      <c r="F45" s="32"/>
      <c r="G45" s="32"/>
      <c r="H45" s="32"/>
    </row>
    <row r="46" spans="1:8" ht="16.5" customHeight="1" x14ac:dyDescent="0.25">
      <c r="A46" s="15"/>
      <c r="B46" s="16"/>
      <c r="C46" s="26"/>
      <c r="D46" s="33"/>
      <c r="E46" s="33"/>
      <c r="F46" s="33"/>
      <c r="G46" s="33"/>
      <c r="H46" s="33"/>
    </row>
    <row r="47" spans="1:8" ht="16.5" customHeight="1" x14ac:dyDescent="0.25">
      <c r="A47" s="17"/>
      <c r="B47" s="18"/>
      <c r="C47" s="27"/>
      <c r="D47" s="32"/>
      <c r="E47" s="32"/>
      <c r="F47" s="32"/>
      <c r="G47" s="32"/>
      <c r="H47" s="32"/>
    </row>
    <row r="48" spans="1:8" ht="16.5" customHeight="1" x14ac:dyDescent="0.25">
      <c r="A48" s="15"/>
      <c r="B48" s="16"/>
      <c r="C48" s="26"/>
      <c r="D48" s="33"/>
      <c r="E48" s="33"/>
      <c r="F48" s="33"/>
      <c r="G48" s="33"/>
      <c r="H48" s="33"/>
    </row>
    <row r="49" spans="1:8" ht="16.5" customHeight="1" x14ac:dyDescent="0.25">
      <c r="A49" s="17"/>
      <c r="B49" s="18"/>
      <c r="C49" s="27"/>
      <c r="D49" s="32"/>
      <c r="E49" s="32"/>
      <c r="F49" s="32"/>
      <c r="G49" s="32"/>
      <c r="H49" s="32"/>
    </row>
    <row r="50" spans="1:8" ht="16.5" customHeight="1" x14ac:dyDescent="0.25">
      <c r="A50" s="15"/>
      <c r="B50" s="16"/>
      <c r="C50" s="26"/>
      <c r="D50" s="33"/>
      <c r="E50" s="33"/>
      <c r="F50" s="33"/>
      <c r="G50" s="33"/>
      <c r="H50" s="33"/>
    </row>
    <row r="51" spans="1:8" ht="16.5" customHeight="1" x14ac:dyDescent="0.25">
      <c r="A51" s="17"/>
      <c r="B51" s="18"/>
      <c r="C51" s="27"/>
      <c r="D51" s="32"/>
      <c r="E51" s="32"/>
      <c r="F51" s="32"/>
      <c r="G51" s="32"/>
      <c r="H51" s="32"/>
    </row>
    <row r="52" spans="1:8" ht="16.5" customHeight="1" x14ac:dyDescent="0.25">
      <c r="A52" s="15"/>
      <c r="B52" s="16"/>
      <c r="C52" s="26"/>
      <c r="D52" s="33"/>
      <c r="E52" s="33"/>
      <c r="F52" s="33"/>
      <c r="G52" s="33"/>
      <c r="H52" s="33"/>
    </row>
    <row r="53" spans="1:8" ht="16.5" customHeight="1" x14ac:dyDescent="0.25">
      <c r="A53" s="17"/>
      <c r="B53" s="18"/>
      <c r="C53" s="27"/>
      <c r="D53" s="32"/>
      <c r="E53" s="32"/>
      <c r="F53" s="32"/>
      <c r="G53" s="32"/>
      <c r="H53" s="32"/>
    </row>
    <row r="54" spans="1:8" ht="16.5" customHeight="1" x14ac:dyDescent="0.25">
      <c r="A54" s="15"/>
      <c r="B54" s="16"/>
      <c r="C54" s="26"/>
      <c r="D54" s="33"/>
      <c r="E54" s="33"/>
      <c r="F54" s="33"/>
      <c r="G54" s="33"/>
      <c r="H54" s="33"/>
    </row>
    <row r="55" spans="1:8" ht="16.5" customHeight="1" x14ac:dyDescent="0.25">
      <c r="A55" s="17"/>
      <c r="B55" s="18"/>
      <c r="C55" s="27"/>
      <c r="D55" s="32"/>
      <c r="E55" s="32"/>
      <c r="F55" s="32"/>
      <c r="G55" s="32"/>
      <c r="H55" s="32"/>
    </row>
    <row r="56" spans="1:8" ht="16.5" customHeight="1" x14ac:dyDescent="0.25">
      <c r="A56" s="15"/>
      <c r="B56" s="16"/>
      <c r="C56" s="26"/>
      <c r="D56" s="33"/>
      <c r="E56" s="33"/>
      <c r="F56" s="33"/>
      <c r="G56" s="33"/>
      <c r="H56" s="33"/>
    </row>
    <row r="57" spans="1:8" ht="16.5" customHeight="1" x14ac:dyDescent="0.25">
      <c r="A57" s="17"/>
      <c r="B57" s="18"/>
      <c r="C57" s="27"/>
      <c r="D57" s="32"/>
      <c r="E57" s="32"/>
      <c r="F57" s="32"/>
      <c r="G57" s="32"/>
      <c r="H57" s="32"/>
    </row>
    <row r="58" spans="1:8" ht="16.5" customHeight="1" x14ac:dyDescent="0.25">
      <c r="A58" s="15"/>
      <c r="B58" s="16"/>
      <c r="C58" s="26"/>
      <c r="D58" s="33"/>
      <c r="E58" s="33"/>
      <c r="F58" s="33"/>
      <c r="G58" s="33"/>
      <c r="H58" s="33"/>
    </row>
    <row r="59" spans="1:8" ht="16.5" customHeight="1" x14ac:dyDescent="0.25">
      <c r="A59" s="17"/>
      <c r="B59" s="18"/>
      <c r="C59" s="27"/>
      <c r="D59" s="32"/>
      <c r="E59" s="32"/>
      <c r="F59" s="32"/>
      <c r="G59" s="32"/>
      <c r="H59" s="32"/>
    </row>
    <row r="60" spans="1:8" ht="16.5" customHeight="1" x14ac:dyDescent="0.25">
      <c r="A60" s="15"/>
      <c r="B60" s="16"/>
      <c r="C60" s="26"/>
      <c r="D60" s="33"/>
      <c r="E60" s="33"/>
      <c r="F60" s="33"/>
      <c r="G60" s="33"/>
      <c r="H60" s="33"/>
    </row>
    <row r="61" spans="1:8" ht="16.5" customHeight="1" x14ac:dyDescent="0.25">
      <c r="A61" s="17"/>
      <c r="B61" s="18"/>
      <c r="C61" s="27"/>
      <c r="D61" s="32"/>
      <c r="E61" s="32"/>
      <c r="F61" s="32"/>
      <c r="G61" s="32"/>
      <c r="H61" s="32"/>
    </row>
    <row r="62" spans="1:8" ht="16.5" customHeight="1" x14ac:dyDescent="0.25">
      <c r="A62" s="15"/>
      <c r="B62" s="16"/>
      <c r="C62" s="26"/>
      <c r="D62" s="33"/>
      <c r="E62" s="33"/>
      <c r="F62" s="33"/>
      <c r="G62" s="33"/>
      <c r="H62" s="33"/>
    </row>
    <row r="63" spans="1:8" ht="16.5" customHeight="1" x14ac:dyDescent="0.25">
      <c r="A63" s="17"/>
      <c r="B63" s="18"/>
      <c r="C63" s="27"/>
      <c r="D63" s="32"/>
      <c r="E63" s="32"/>
      <c r="F63" s="32"/>
      <c r="G63" s="32"/>
      <c r="H63" s="32"/>
    </row>
    <row r="64" spans="1:8" ht="16.5" customHeight="1" x14ac:dyDescent="0.25">
      <c r="A64" s="15"/>
      <c r="B64" s="16"/>
      <c r="C64" s="26"/>
      <c r="D64" s="33"/>
      <c r="E64" s="33"/>
      <c r="F64" s="33"/>
      <c r="G64" s="33"/>
      <c r="H64" s="33"/>
    </row>
    <row r="65" spans="1:8" ht="16.5" customHeight="1" x14ac:dyDescent="0.25">
      <c r="A65" s="17"/>
      <c r="B65" s="18"/>
      <c r="C65" s="27"/>
      <c r="D65" s="32"/>
      <c r="E65" s="32"/>
      <c r="F65" s="32"/>
      <c r="G65" s="32"/>
      <c r="H65" s="32"/>
    </row>
    <row r="66" spans="1:8" ht="16.5" customHeight="1" x14ac:dyDescent="0.25">
      <c r="A66" s="15"/>
      <c r="B66" s="16"/>
      <c r="C66" s="26"/>
      <c r="D66" s="33"/>
      <c r="E66" s="33"/>
      <c r="F66" s="33"/>
      <c r="G66" s="33"/>
      <c r="H66" s="33"/>
    </row>
    <row r="67" spans="1:8" ht="16.5" customHeight="1" x14ac:dyDescent="0.25">
      <c r="A67" s="17"/>
      <c r="B67" s="18"/>
      <c r="C67" s="27"/>
      <c r="D67" s="32"/>
      <c r="E67" s="32"/>
      <c r="F67" s="32"/>
      <c r="G67" s="32"/>
      <c r="H67" s="32"/>
    </row>
    <row r="68" spans="1:8" ht="16.5" customHeight="1" x14ac:dyDescent="0.25">
      <c r="A68" s="15"/>
      <c r="B68" s="16"/>
      <c r="C68" s="26"/>
      <c r="D68" s="33"/>
      <c r="E68" s="33"/>
      <c r="F68" s="33"/>
      <c r="G68" s="33"/>
      <c r="H68" s="33"/>
    </row>
    <row r="69" spans="1:8" ht="16.5" customHeight="1" x14ac:dyDescent="0.25">
      <c r="A69" s="17"/>
      <c r="B69" s="18"/>
      <c r="C69" s="27"/>
      <c r="D69" s="32"/>
      <c r="E69" s="32"/>
      <c r="F69" s="32"/>
      <c r="G69" s="32"/>
      <c r="H69" s="32"/>
    </row>
    <row r="70" spans="1:8" ht="16.5" customHeight="1" x14ac:dyDescent="0.25">
      <c r="A70" s="15"/>
      <c r="B70" s="16"/>
      <c r="C70" s="26"/>
      <c r="D70" s="33"/>
      <c r="E70" s="33"/>
      <c r="F70" s="33"/>
      <c r="G70" s="33"/>
      <c r="H70" s="33"/>
    </row>
    <row r="71" spans="1:8" ht="16.5" customHeight="1" x14ac:dyDescent="0.25">
      <c r="A71" s="17"/>
      <c r="B71" s="18"/>
      <c r="C71" s="27"/>
      <c r="D71" s="32"/>
      <c r="E71" s="32"/>
      <c r="F71" s="32"/>
      <c r="G71" s="32"/>
      <c r="H71" s="32"/>
    </row>
    <row r="72" spans="1:8" ht="16.5" customHeight="1" x14ac:dyDescent="0.25">
      <c r="A72" s="15"/>
      <c r="B72" s="16"/>
      <c r="C72" s="26"/>
      <c r="D72" s="33"/>
      <c r="E72" s="33"/>
      <c r="F72" s="33"/>
      <c r="G72" s="33"/>
      <c r="H72" s="33"/>
    </row>
    <row r="73" spans="1:8" ht="16.5" customHeight="1" x14ac:dyDescent="0.25">
      <c r="A73" s="17"/>
      <c r="B73" s="18"/>
      <c r="C73" s="27"/>
      <c r="D73" s="32"/>
      <c r="E73" s="32"/>
      <c r="F73" s="32"/>
      <c r="G73" s="32"/>
      <c r="H73" s="32"/>
    </row>
    <row r="74" spans="1:8" ht="16.5" customHeight="1" x14ac:dyDescent="0.25">
      <c r="A74" s="15"/>
      <c r="B74" s="16"/>
      <c r="C74" s="26"/>
      <c r="D74" s="33"/>
      <c r="E74" s="33"/>
      <c r="F74" s="33"/>
      <c r="G74" s="33"/>
      <c r="H74" s="33"/>
    </row>
    <row r="75" spans="1:8" ht="16.5" customHeight="1" x14ac:dyDescent="0.25">
      <c r="A75" s="17"/>
      <c r="B75" s="18"/>
      <c r="C75" s="27"/>
      <c r="D75" s="32"/>
      <c r="E75" s="32"/>
      <c r="F75" s="32"/>
      <c r="G75" s="32"/>
      <c r="H75" s="32"/>
    </row>
    <row r="76" spans="1:8" ht="16.5" customHeight="1" x14ac:dyDescent="0.25">
      <c r="A76" s="15"/>
      <c r="B76" s="16"/>
      <c r="C76" s="26"/>
      <c r="D76" s="33"/>
      <c r="E76" s="33"/>
      <c r="F76" s="33"/>
      <c r="G76" s="33"/>
      <c r="H76" s="33"/>
    </row>
    <row r="77" spans="1:8" ht="16.5" customHeight="1" x14ac:dyDescent="0.25">
      <c r="A77" s="17"/>
      <c r="B77" s="18"/>
      <c r="C77" s="27"/>
      <c r="D77" s="32"/>
      <c r="E77" s="32"/>
      <c r="F77" s="32"/>
      <c r="G77" s="32"/>
      <c r="H77" s="32"/>
    </row>
    <row r="78" spans="1:8" ht="16.5" customHeight="1" x14ac:dyDescent="0.25">
      <c r="A78" s="15"/>
      <c r="B78" s="16"/>
      <c r="C78" s="26"/>
      <c r="D78" s="33"/>
      <c r="E78" s="33"/>
      <c r="F78" s="33"/>
      <c r="G78" s="33"/>
      <c r="H78" s="33"/>
    </row>
    <row r="79" spans="1:8" ht="16.5" customHeight="1" x14ac:dyDescent="0.25">
      <c r="A79" s="17"/>
      <c r="B79" s="18"/>
      <c r="C79" s="27"/>
      <c r="D79" s="32"/>
      <c r="E79" s="32"/>
      <c r="F79" s="32"/>
      <c r="G79" s="32"/>
      <c r="H79" s="32"/>
    </row>
    <row r="80" spans="1:8" ht="16.5" customHeight="1" x14ac:dyDescent="0.25">
      <c r="A80" s="15"/>
      <c r="B80" s="16"/>
      <c r="C80" s="26"/>
      <c r="D80" s="33"/>
      <c r="E80" s="33"/>
      <c r="F80" s="33"/>
      <c r="G80" s="33"/>
      <c r="H80" s="33"/>
    </row>
    <row r="81" spans="1:8" ht="16.5" customHeight="1" x14ac:dyDescent="0.25">
      <c r="A81" s="17"/>
      <c r="B81" s="18"/>
      <c r="C81" s="27"/>
      <c r="D81" s="32"/>
      <c r="E81" s="32"/>
      <c r="F81" s="32"/>
      <c r="G81" s="32"/>
      <c r="H81" s="32"/>
    </row>
    <row r="82" spans="1:8" ht="16.5" customHeight="1" x14ac:dyDescent="0.25">
      <c r="A82" s="15"/>
      <c r="B82" s="16"/>
      <c r="C82" s="26"/>
      <c r="D82" s="33"/>
      <c r="E82" s="33"/>
      <c r="F82" s="33"/>
      <c r="G82" s="33"/>
      <c r="H82" s="33"/>
    </row>
    <row r="83" spans="1:8" ht="16.5" customHeight="1" x14ac:dyDescent="0.25">
      <c r="A83" s="17"/>
      <c r="B83" s="18"/>
      <c r="C83" s="27"/>
      <c r="D83" s="32"/>
      <c r="E83" s="32"/>
      <c r="F83" s="32"/>
      <c r="G83" s="32"/>
      <c r="H83" s="32"/>
    </row>
    <row r="84" spans="1:8" ht="16.5" customHeight="1" x14ac:dyDescent="0.25">
      <c r="A84" s="15"/>
      <c r="B84" s="16"/>
      <c r="C84" s="26"/>
      <c r="D84" s="33"/>
      <c r="E84" s="33"/>
      <c r="F84" s="33"/>
      <c r="G84" s="33"/>
      <c r="H84" s="33"/>
    </row>
    <row r="85" spans="1:8" ht="16.5" customHeight="1" x14ac:dyDescent="0.25">
      <c r="A85" s="17"/>
      <c r="B85" s="18"/>
      <c r="C85" s="27"/>
      <c r="D85" s="32"/>
      <c r="E85" s="32"/>
      <c r="F85" s="32"/>
      <c r="G85" s="32"/>
      <c r="H85" s="32"/>
    </row>
    <row r="86" spans="1:8" ht="16.5" customHeight="1" x14ac:dyDescent="0.25">
      <c r="A86" s="15"/>
      <c r="B86" s="16"/>
      <c r="C86" s="26"/>
      <c r="D86" s="33"/>
      <c r="E86" s="33"/>
      <c r="F86" s="33"/>
      <c r="G86" s="33"/>
      <c r="H86" s="33"/>
    </row>
    <row r="87" spans="1:8" ht="16.5" customHeight="1" x14ac:dyDescent="0.25">
      <c r="A87" s="17"/>
      <c r="B87" s="18"/>
      <c r="C87" s="27"/>
      <c r="D87" s="32"/>
      <c r="E87" s="32"/>
      <c r="F87" s="32"/>
      <c r="G87" s="32"/>
      <c r="H87" s="32"/>
    </row>
    <row r="88" spans="1:8" ht="16.5" customHeight="1" x14ac:dyDescent="0.25">
      <c r="A88" s="15"/>
      <c r="B88" s="16"/>
      <c r="C88" s="26"/>
      <c r="D88" s="33"/>
      <c r="E88" s="33"/>
      <c r="F88" s="33"/>
      <c r="G88" s="33"/>
      <c r="H88" s="33"/>
    </row>
    <row r="89" spans="1:8" ht="16.5" customHeight="1" x14ac:dyDescent="0.25">
      <c r="A89" s="17"/>
      <c r="B89" s="18"/>
      <c r="C89" s="27"/>
      <c r="D89" s="32"/>
      <c r="E89" s="32"/>
      <c r="F89" s="32"/>
      <c r="G89" s="32"/>
      <c r="H89" s="32"/>
    </row>
    <row r="90" spans="1:8" ht="16.5" customHeight="1" x14ac:dyDescent="0.25">
      <c r="A90" s="15"/>
      <c r="B90" s="16"/>
      <c r="C90" s="26"/>
      <c r="D90" s="33"/>
      <c r="E90" s="33"/>
      <c r="F90" s="33"/>
      <c r="G90" s="33"/>
      <c r="H90" s="33"/>
    </row>
    <row r="91" spans="1:8" ht="16.5" customHeight="1" x14ac:dyDescent="0.25">
      <c r="A91" s="17"/>
      <c r="B91" s="18"/>
      <c r="C91" s="27"/>
      <c r="D91" s="32"/>
      <c r="E91" s="32"/>
      <c r="F91" s="32"/>
      <c r="G91" s="32"/>
      <c r="H91" s="32"/>
    </row>
    <row r="92" spans="1:8" ht="16.5" customHeight="1" x14ac:dyDescent="0.25">
      <c r="A92" s="15"/>
      <c r="B92" s="16"/>
      <c r="C92" s="26"/>
      <c r="D92" s="33"/>
      <c r="E92" s="33"/>
      <c r="F92" s="33"/>
      <c r="G92" s="33"/>
      <c r="H92" s="33"/>
    </row>
    <row r="93" spans="1:8" ht="16.5" customHeight="1" x14ac:dyDescent="0.25">
      <c r="A93" s="17"/>
      <c r="B93" s="18"/>
      <c r="C93" s="27"/>
      <c r="D93" s="32"/>
      <c r="E93" s="32"/>
      <c r="F93" s="32"/>
      <c r="G93" s="32"/>
      <c r="H93" s="32"/>
    </row>
    <row r="94" spans="1:8" ht="16.5" customHeight="1" x14ac:dyDescent="0.25">
      <c r="A94" s="15"/>
      <c r="B94" s="16"/>
      <c r="C94" s="26"/>
      <c r="D94" s="33"/>
      <c r="E94" s="33"/>
      <c r="F94" s="33"/>
      <c r="G94" s="33"/>
      <c r="H94" s="33"/>
    </row>
    <row r="95" spans="1:8" ht="16.5" customHeight="1" x14ac:dyDescent="0.25">
      <c r="A95" s="17"/>
      <c r="B95" s="18"/>
      <c r="C95" s="27"/>
      <c r="D95" s="32"/>
      <c r="E95" s="32"/>
      <c r="F95" s="32"/>
      <c r="G95" s="32"/>
      <c r="H95" s="32"/>
    </row>
    <row r="96" spans="1:8" ht="16.5" customHeight="1" x14ac:dyDescent="0.25">
      <c r="A96" s="15"/>
      <c r="B96" s="16"/>
      <c r="C96" s="26"/>
      <c r="D96" s="33"/>
      <c r="E96" s="33"/>
      <c r="F96" s="33"/>
      <c r="G96" s="33"/>
      <c r="H96" s="33"/>
    </row>
    <row r="97" spans="1:8" ht="16.5" customHeight="1" x14ac:dyDescent="0.25">
      <c r="A97" s="17"/>
      <c r="B97" s="18"/>
      <c r="C97" s="27"/>
      <c r="D97" s="32"/>
      <c r="E97" s="32"/>
      <c r="F97" s="32"/>
      <c r="G97" s="32"/>
      <c r="H97" s="32"/>
    </row>
    <row r="98" spans="1:8" ht="16.5" customHeight="1" x14ac:dyDescent="0.25">
      <c r="A98" s="15"/>
      <c r="B98" s="16"/>
      <c r="C98" s="26"/>
      <c r="D98" s="33"/>
      <c r="E98" s="33"/>
      <c r="F98" s="33"/>
      <c r="G98" s="33"/>
      <c r="H98" s="33"/>
    </row>
    <row r="99" spans="1:8" ht="16.5" customHeight="1" x14ac:dyDescent="0.25">
      <c r="A99" s="17"/>
      <c r="B99" s="18"/>
      <c r="C99" s="27"/>
      <c r="D99" s="32"/>
      <c r="E99" s="32"/>
      <c r="F99" s="32"/>
      <c r="G99" s="32"/>
      <c r="H99" s="32"/>
    </row>
    <row r="100" spans="1:8" ht="16.5" customHeight="1" x14ac:dyDescent="0.25">
      <c r="A100" s="15"/>
      <c r="B100" s="16"/>
      <c r="C100" s="26"/>
      <c r="D100" s="33"/>
      <c r="E100" s="33"/>
      <c r="F100" s="33"/>
      <c r="G100" s="33"/>
      <c r="H100" s="33"/>
    </row>
    <row r="101" spans="1:8" ht="16.5" customHeight="1" x14ac:dyDescent="0.25">
      <c r="A101" s="17"/>
      <c r="B101" s="18"/>
      <c r="C101" s="27"/>
      <c r="D101" s="32"/>
      <c r="E101" s="32"/>
      <c r="F101" s="32"/>
      <c r="G101" s="32"/>
      <c r="H101" s="32"/>
    </row>
    <row r="102" spans="1:8" ht="16.5" customHeight="1" x14ac:dyDescent="0.25">
      <c r="A102" s="15"/>
      <c r="B102" s="16"/>
      <c r="C102" s="26"/>
      <c r="D102" s="33"/>
      <c r="E102" s="33"/>
      <c r="F102" s="33"/>
      <c r="G102" s="33"/>
      <c r="H102" s="33"/>
    </row>
    <row r="103" spans="1:8" ht="16.5" customHeight="1" x14ac:dyDescent="0.25">
      <c r="A103" s="17"/>
      <c r="B103" s="18"/>
      <c r="C103" s="27"/>
      <c r="D103" s="32"/>
      <c r="E103" s="32"/>
      <c r="F103" s="32"/>
      <c r="G103" s="32"/>
      <c r="H103" s="32"/>
    </row>
    <row r="104" spans="1:8" ht="16.5" customHeight="1" x14ac:dyDescent="0.25">
      <c r="A104" s="15"/>
      <c r="B104" s="16"/>
      <c r="C104" s="26"/>
      <c r="D104" s="33"/>
      <c r="E104" s="33"/>
      <c r="F104" s="33"/>
      <c r="G104" s="33"/>
      <c r="H104" s="33"/>
    </row>
    <row r="105" spans="1:8" ht="16.5" customHeight="1" x14ac:dyDescent="0.25">
      <c r="A105" s="17"/>
      <c r="B105" s="18"/>
      <c r="C105" s="27"/>
      <c r="D105" s="32"/>
      <c r="E105" s="32"/>
      <c r="F105" s="32"/>
      <c r="G105" s="32"/>
      <c r="H105" s="32"/>
    </row>
    <row r="106" spans="1:8" ht="16.5" customHeight="1" x14ac:dyDescent="0.25">
      <c r="A106" s="15"/>
      <c r="B106" s="16"/>
      <c r="C106" s="26"/>
      <c r="D106" s="33"/>
      <c r="E106" s="33"/>
      <c r="F106" s="33"/>
      <c r="G106" s="33"/>
      <c r="H106" s="33"/>
    </row>
    <row r="107" spans="1:8" ht="16.5" customHeight="1" x14ac:dyDescent="0.25">
      <c r="A107" s="17"/>
      <c r="B107" s="18"/>
      <c r="C107" s="27"/>
      <c r="D107" s="32"/>
      <c r="E107" s="32"/>
      <c r="F107" s="32"/>
      <c r="G107" s="32"/>
      <c r="H107" s="32"/>
    </row>
    <row r="108" spans="1:8" ht="16.5" customHeight="1" x14ac:dyDescent="0.25">
      <c r="A108" s="15"/>
      <c r="B108" s="16"/>
      <c r="C108" s="26"/>
      <c r="D108" s="33"/>
      <c r="E108" s="33"/>
      <c r="F108" s="33"/>
      <c r="G108" s="33"/>
      <c r="H108" s="33"/>
    </row>
    <row r="109" spans="1:8" ht="16.5" customHeight="1" x14ac:dyDescent="0.25">
      <c r="A109" s="17"/>
      <c r="B109" s="18"/>
      <c r="C109" s="27"/>
      <c r="D109" s="32"/>
      <c r="E109" s="32"/>
      <c r="F109" s="32"/>
      <c r="G109" s="32"/>
      <c r="H109" s="32"/>
    </row>
    <row r="110" spans="1:8" ht="16.5" customHeight="1" x14ac:dyDescent="0.25">
      <c r="A110" s="15"/>
      <c r="B110" s="16"/>
      <c r="C110" s="26"/>
      <c r="D110" s="33"/>
      <c r="E110" s="33"/>
      <c r="F110" s="33"/>
      <c r="G110" s="33"/>
      <c r="H110" s="33"/>
    </row>
    <row r="111" spans="1:8" ht="16.5" customHeight="1" x14ac:dyDescent="0.25">
      <c r="A111" s="17"/>
      <c r="B111" s="18"/>
      <c r="C111" s="27"/>
      <c r="D111" s="32"/>
      <c r="E111" s="32"/>
      <c r="F111" s="32"/>
      <c r="G111" s="32"/>
      <c r="H111" s="32"/>
    </row>
    <row r="112" spans="1:8" ht="16.5" customHeight="1" x14ac:dyDescent="0.25">
      <c r="A112" s="15"/>
      <c r="B112" s="16"/>
      <c r="C112" s="26"/>
      <c r="D112" s="33"/>
      <c r="E112" s="33"/>
      <c r="F112" s="33"/>
      <c r="G112" s="33"/>
      <c r="H112" s="33"/>
    </row>
    <row r="113" spans="1:8" ht="16.5" customHeight="1" x14ac:dyDescent="0.25">
      <c r="A113" s="17"/>
      <c r="B113" s="18"/>
      <c r="C113" s="27"/>
      <c r="D113" s="32"/>
      <c r="E113" s="32"/>
      <c r="F113" s="32"/>
      <c r="G113" s="32"/>
      <c r="H113" s="32"/>
    </row>
    <row r="114" spans="1:8" ht="16.5" customHeight="1" x14ac:dyDescent="0.25">
      <c r="A114" s="15"/>
      <c r="B114" s="16"/>
      <c r="C114" s="26"/>
      <c r="D114" s="33"/>
      <c r="E114" s="33"/>
      <c r="F114" s="33"/>
      <c r="G114" s="33"/>
      <c r="H114" s="33"/>
    </row>
    <row r="115" spans="1:8" ht="16.5" customHeight="1" x14ac:dyDescent="0.25">
      <c r="A115" s="17"/>
      <c r="B115" s="18"/>
      <c r="C115" s="27"/>
      <c r="D115" s="32"/>
      <c r="E115" s="32"/>
      <c r="F115" s="32"/>
      <c r="G115" s="32"/>
      <c r="H115" s="32"/>
    </row>
    <row r="116" spans="1:8" ht="16.5" customHeight="1" x14ac:dyDescent="0.25">
      <c r="A116" s="15"/>
      <c r="B116" s="16"/>
      <c r="C116" s="26"/>
      <c r="D116" s="33"/>
      <c r="E116" s="33"/>
      <c r="F116" s="33"/>
      <c r="G116" s="33"/>
      <c r="H116" s="33"/>
    </row>
    <row r="117" spans="1:8" ht="16.5" customHeight="1" x14ac:dyDescent="0.25">
      <c r="A117" s="17"/>
      <c r="B117" s="18"/>
      <c r="C117" s="27"/>
      <c r="D117" s="32"/>
      <c r="E117" s="32"/>
      <c r="F117" s="32"/>
      <c r="G117" s="32"/>
      <c r="H117" s="32"/>
    </row>
    <row r="118" spans="1:8" ht="16.5" customHeight="1" x14ac:dyDescent="0.25">
      <c r="A118" s="15"/>
      <c r="B118" s="16"/>
      <c r="C118" s="26"/>
      <c r="D118" s="33"/>
      <c r="E118" s="33"/>
      <c r="F118" s="33"/>
      <c r="G118" s="33"/>
      <c r="H118" s="33"/>
    </row>
    <row r="119" spans="1:8" ht="16.5" customHeight="1" x14ac:dyDescent="0.25">
      <c r="A119" s="17"/>
      <c r="B119" s="18"/>
      <c r="C119" s="27"/>
      <c r="D119" s="32"/>
      <c r="E119" s="32"/>
      <c r="F119" s="32"/>
      <c r="G119" s="32"/>
      <c r="H119" s="32"/>
    </row>
    <row r="120" spans="1:8" ht="16.5" customHeight="1" x14ac:dyDescent="0.25">
      <c r="A120" s="15"/>
      <c r="B120" s="16"/>
      <c r="C120" s="26"/>
      <c r="D120" s="33"/>
      <c r="E120" s="33"/>
      <c r="F120" s="33"/>
      <c r="G120" s="33"/>
      <c r="H120" s="33"/>
    </row>
    <row r="121" spans="1:8" ht="16.5" customHeight="1" x14ac:dyDescent="0.25">
      <c r="A121" s="17"/>
      <c r="B121" s="18"/>
      <c r="C121" s="27"/>
      <c r="D121" s="32"/>
      <c r="E121" s="32"/>
      <c r="F121" s="32"/>
      <c r="G121" s="32"/>
      <c r="H121" s="32"/>
    </row>
    <row r="122" spans="1:8" ht="16.5" customHeight="1" x14ac:dyDescent="0.25">
      <c r="A122" s="15"/>
      <c r="B122" s="16"/>
      <c r="C122" s="26"/>
      <c r="D122" s="33"/>
      <c r="E122" s="33"/>
      <c r="F122" s="33"/>
      <c r="G122" s="33"/>
      <c r="H122" s="33"/>
    </row>
    <row r="123" spans="1:8" ht="16.5" customHeight="1" x14ac:dyDescent="0.25">
      <c r="A123" s="17"/>
      <c r="B123" s="18"/>
      <c r="C123" s="27"/>
      <c r="D123" s="32"/>
      <c r="E123" s="32"/>
      <c r="F123" s="32"/>
      <c r="G123" s="32"/>
      <c r="H123" s="32"/>
    </row>
    <row r="124" spans="1:8" ht="16.5" customHeight="1" x14ac:dyDescent="0.25">
      <c r="A124" s="15"/>
      <c r="B124" s="16"/>
      <c r="C124" s="26"/>
      <c r="D124" s="33"/>
      <c r="E124" s="33"/>
      <c r="F124" s="33"/>
      <c r="G124" s="33"/>
      <c r="H124" s="33"/>
    </row>
    <row r="125" spans="1:8" ht="16.5" customHeight="1" x14ac:dyDescent="0.25">
      <c r="A125" s="17"/>
      <c r="B125" s="18"/>
      <c r="C125" s="27"/>
      <c r="D125" s="32"/>
      <c r="E125" s="32"/>
      <c r="F125" s="32"/>
      <c r="G125" s="32"/>
      <c r="H125" s="32"/>
    </row>
    <row r="126" spans="1:8" ht="16.5" customHeight="1" x14ac:dyDescent="0.25">
      <c r="A126" s="15"/>
      <c r="B126" s="16"/>
      <c r="C126" s="26"/>
      <c r="D126" s="33"/>
      <c r="E126" s="33"/>
      <c r="F126" s="33"/>
      <c r="G126" s="33"/>
      <c r="H126" s="33"/>
    </row>
    <row r="127" spans="1:8" ht="16.5" customHeight="1" x14ac:dyDescent="0.25">
      <c r="A127" s="17"/>
      <c r="B127" s="18"/>
      <c r="C127" s="27"/>
      <c r="D127" s="32"/>
      <c r="E127" s="32"/>
      <c r="F127" s="32"/>
      <c r="G127" s="32"/>
      <c r="H127" s="32"/>
    </row>
    <row r="128" spans="1:8" ht="16.5" customHeight="1" x14ac:dyDescent="0.25">
      <c r="A128" s="15"/>
      <c r="B128" s="16"/>
      <c r="C128" s="26"/>
      <c r="D128" s="33"/>
      <c r="E128" s="33"/>
      <c r="F128" s="33"/>
      <c r="G128" s="33"/>
      <c r="H128" s="33"/>
    </row>
    <row r="129" spans="1:8" ht="16.5" customHeight="1" x14ac:dyDescent="0.25">
      <c r="A129" s="17"/>
      <c r="B129" s="18"/>
      <c r="C129" s="27"/>
      <c r="D129" s="32"/>
      <c r="E129" s="32"/>
      <c r="F129" s="32"/>
      <c r="G129" s="32"/>
      <c r="H129" s="32"/>
    </row>
    <row r="130" spans="1:8" ht="16.5" customHeight="1" x14ac:dyDescent="0.25">
      <c r="A130" s="15"/>
      <c r="B130" s="16"/>
      <c r="C130" s="26"/>
      <c r="D130" s="33"/>
      <c r="E130" s="33"/>
      <c r="F130" s="33"/>
      <c r="G130" s="33"/>
      <c r="H130" s="33"/>
    </row>
    <row r="131" spans="1:8" ht="16.5" customHeight="1" x14ac:dyDescent="0.25">
      <c r="A131" s="17"/>
      <c r="B131" s="18"/>
      <c r="C131" s="27"/>
      <c r="D131" s="32"/>
      <c r="E131" s="32"/>
      <c r="F131" s="32"/>
      <c r="G131" s="32"/>
      <c r="H131" s="32"/>
    </row>
    <row r="132" spans="1:8" ht="16.5" customHeight="1" x14ac:dyDescent="0.25">
      <c r="A132" s="15"/>
      <c r="B132" s="16"/>
      <c r="C132" s="26"/>
      <c r="D132" s="33"/>
      <c r="E132" s="33"/>
      <c r="F132" s="33"/>
      <c r="G132" s="33"/>
      <c r="H132" s="33"/>
    </row>
    <row r="133" spans="1:8" ht="16.5" customHeight="1" x14ac:dyDescent="0.25">
      <c r="A133" s="17"/>
      <c r="B133" s="18"/>
      <c r="C133" s="27"/>
      <c r="D133" s="32"/>
      <c r="E133" s="32"/>
      <c r="F133" s="32"/>
      <c r="G133" s="32"/>
      <c r="H133" s="32"/>
    </row>
    <row r="134" spans="1:8" ht="16.5" customHeight="1" x14ac:dyDescent="0.25">
      <c r="A134" s="15"/>
      <c r="B134" s="16"/>
      <c r="C134" s="26"/>
      <c r="D134" s="33"/>
      <c r="E134" s="33"/>
      <c r="F134" s="33"/>
      <c r="G134" s="33"/>
      <c r="H134" s="33"/>
    </row>
    <row r="135" spans="1:8" ht="16.5" customHeight="1" x14ac:dyDescent="0.25">
      <c r="A135" s="17"/>
      <c r="B135" s="18"/>
      <c r="C135" s="27"/>
      <c r="D135" s="32"/>
      <c r="E135" s="32"/>
      <c r="F135" s="32"/>
      <c r="G135" s="32"/>
      <c r="H135" s="32"/>
    </row>
    <row r="136" spans="1:8" ht="16.5" customHeight="1" x14ac:dyDescent="0.25">
      <c r="A136" s="15"/>
      <c r="B136" s="16"/>
      <c r="C136" s="26"/>
      <c r="D136" s="33"/>
      <c r="E136" s="33"/>
      <c r="F136" s="33"/>
      <c r="G136" s="33"/>
      <c r="H136" s="33"/>
    </row>
    <row r="137" spans="1:8" ht="16.5" customHeight="1" x14ac:dyDescent="0.25">
      <c r="A137" s="17"/>
      <c r="B137" s="18"/>
      <c r="C137" s="27"/>
      <c r="D137" s="32"/>
      <c r="E137" s="32"/>
      <c r="F137" s="32"/>
      <c r="G137" s="32"/>
      <c r="H137" s="32"/>
    </row>
    <row r="138" spans="1:8" ht="16.5" customHeight="1" x14ac:dyDescent="0.25">
      <c r="A138" s="15"/>
      <c r="B138" s="16"/>
      <c r="C138" s="26"/>
      <c r="D138" s="33"/>
      <c r="E138" s="33"/>
      <c r="F138" s="33"/>
      <c r="G138" s="33"/>
      <c r="H138" s="33"/>
    </row>
    <row r="139" spans="1:8" ht="16.5" customHeight="1" x14ac:dyDescent="0.25">
      <c r="A139" s="17"/>
      <c r="B139" s="18"/>
      <c r="C139" s="27"/>
      <c r="D139" s="32"/>
      <c r="E139" s="32"/>
      <c r="F139" s="32"/>
      <c r="G139" s="32"/>
      <c r="H139" s="32"/>
    </row>
    <row r="140" spans="1:8" ht="16.5" customHeight="1" x14ac:dyDescent="0.25">
      <c r="A140" s="15"/>
      <c r="B140" s="16"/>
      <c r="C140" s="26"/>
      <c r="D140" s="33"/>
      <c r="E140" s="33"/>
      <c r="F140" s="33"/>
      <c r="G140" s="33"/>
      <c r="H140" s="33"/>
    </row>
    <row r="141" spans="1:8" ht="16.5" customHeight="1" x14ac:dyDescent="0.25">
      <c r="A141" s="17"/>
      <c r="B141" s="18"/>
      <c r="C141" s="27"/>
      <c r="D141" s="32"/>
      <c r="E141" s="32"/>
      <c r="F141" s="32"/>
      <c r="G141" s="32"/>
      <c r="H141" s="32"/>
    </row>
    <row r="142" spans="1:8" ht="16.5" customHeight="1" x14ac:dyDescent="0.25">
      <c r="A142" s="15"/>
      <c r="B142" s="16"/>
      <c r="C142" s="26"/>
      <c r="D142" s="33"/>
      <c r="E142" s="33"/>
      <c r="F142" s="33"/>
      <c r="G142" s="33"/>
      <c r="H142" s="33"/>
    </row>
    <row r="143" spans="1:8" ht="16.5" customHeight="1" x14ac:dyDescent="0.25">
      <c r="A143" s="17"/>
      <c r="B143" s="18"/>
      <c r="C143" s="27"/>
      <c r="D143" s="32"/>
      <c r="E143" s="32"/>
      <c r="F143" s="32"/>
      <c r="G143" s="32"/>
      <c r="H143" s="32"/>
    </row>
    <row r="144" spans="1:8" ht="16.5" customHeight="1" x14ac:dyDescent="0.25">
      <c r="A144" s="15"/>
      <c r="B144" s="16"/>
      <c r="C144" s="26"/>
      <c r="D144" s="33"/>
      <c r="E144" s="33"/>
      <c r="F144" s="33"/>
      <c r="G144" s="33"/>
      <c r="H144" s="33"/>
    </row>
    <row r="145" spans="1:8" ht="16.5" customHeight="1" x14ac:dyDescent="0.25">
      <c r="A145" s="17"/>
      <c r="B145" s="18"/>
      <c r="C145" s="27"/>
      <c r="D145" s="32"/>
      <c r="E145" s="32"/>
      <c r="F145" s="32"/>
      <c r="G145" s="32"/>
      <c r="H145" s="32"/>
    </row>
    <row r="146" spans="1:8" ht="16.5" customHeight="1" x14ac:dyDescent="0.25">
      <c r="A146" s="15"/>
      <c r="B146" s="16"/>
      <c r="C146" s="26"/>
      <c r="D146" s="33"/>
      <c r="E146" s="33"/>
      <c r="F146" s="33"/>
      <c r="G146" s="33"/>
      <c r="H146" s="33"/>
    </row>
    <row r="147" spans="1:8" ht="16.5" customHeight="1" x14ac:dyDescent="0.25">
      <c r="A147" s="17"/>
      <c r="B147" s="18"/>
      <c r="C147" s="27"/>
      <c r="D147" s="32"/>
      <c r="E147" s="32"/>
      <c r="F147" s="32"/>
      <c r="G147" s="32"/>
      <c r="H147" s="32"/>
    </row>
    <row r="148" spans="1:8" ht="16.5" customHeight="1" x14ac:dyDescent="0.25">
      <c r="A148" s="15"/>
      <c r="B148" s="16"/>
      <c r="C148" s="26"/>
      <c r="D148" s="33"/>
      <c r="E148" s="33"/>
      <c r="F148" s="33"/>
      <c r="G148" s="33"/>
      <c r="H148" s="33"/>
    </row>
    <row r="149" spans="1:8" ht="16.5" customHeight="1" x14ac:dyDescent="0.25">
      <c r="A149" s="17"/>
      <c r="B149" s="18"/>
      <c r="C149" s="27"/>
      <c r="D149" s="32"/>
      <c r="E149" s="32"/>
      <c r="F149" s="32"/>
      <c r="G149" s="32"/>
      <c r="H149" s="32"/>
    </row>
    <row r="150" spans="1:8" ht="16.5" customHeight="1" x14ac:dyDescent="0.25">
      <c r="A150" s="15"/>
      <c r="B150" s="16"/>
      <c r="C150" s="26"/>
      <c r="D150" s="33"/>
      <c r="E150" s="33"/>
      <c r="F150" s="33"/>
      <c r="G150" s="33"/>
      <c r="H150" s="33"/>
    </row>
    <row r="151" spans="1:8" ht="16.5" customHeight="1" x14ac:dyDescent="0.25">
      <c r="A151" s="17"/>
      <c r="B151" s="18"/>
      <c r="C151" s="27"/>
      <c r="D151" s="32"/>
      <c r="E151" s="32"/>
      <c r="F151" s="32"/>
      <c r="G151" s="32"/>
      <c r="H151" s="32"/>
    </row>
    <row r="152" spans="1:8" ht="16.5" customHeight="1" x14ac:dyDescent="0.25">
      <c r="A152" s="15"/>
      <c r="B152" s="16"/>
      <c r="C152" s="26"/>
      <c r="D152" s="33"/>
      <c r="E152" s="33"/>
      <c r="F152" s="33"/>
      <c r="G152" s="33"/>
      <c r="H152" s="33"/>
    </row>
    <row r="153" spans="1:8" ht="16.5" customHeight="1" x14ac:dyDescent="0.25">
      <c r="A153" s="17"/>
      <c r="B153" s="18"/>
      <c r="C153" s="27"/>
      <c r="D153" s="32"/>
      <c r="E153" s="32"/>
      <c r="F153" s="32"/>
      <c r="G153" s="32"/>
      <c r="H153" s="32"/>
    </row>
    <row r="154" spans="1:8" ht="16.5" customHeight="1" x14ac:dyDescent="0.25">
      <c r="A154" s="15"/>
      <c r="B154" s="16"/>
      <c r="C154" s="26"/>
      <c r="D154" s="33" t="str">
        <f t="shared" ref="D154" si="2">IF(AND(A154&lt;&gt;"",COUNTIF(A118:A617,A154)&gt;1),"⚠️ JÁ PESADO! Peso: "&amp;TEXT(IFERROR(INDEX(B118:B617,MATCH(A154,A118:A617,0)),0),"#,##0.0")&amp;" kg  Lote: "&amp;IFERROR(INDEX(C118:C617,MATCH(A154,A118:A617,0)),"?"),"")</f>
        <v/>
      </c>
      <c r="E154" s="33"/>
      <c r="F154" s="33"/>
      <c r="G154" s="33"/>
      <c r="H154" s="33"/>
    </row>
    <row r="155" spans="1:8" ht="16.5" customHeight="1" x14ac:dyDescent="0.25">
      <c r="A155" s="17"/>
      <c r="B155" s="18"/>
      <c r="C155" s="27"/>
      <c r="D155" s="32" t="str">
        <f t="shared" ref="D155" si="3">IF(AND(A155&lt;&gt;"",COUNTIF(A118:A617,A155)&gt;1),"⚠️ JÁ PESADO! Peso: "&amp;TEXT(IFERROR(INDEX(B118:B617,MATCH(A155,A118:A617,0)),0),"#,##0.0")&amp;" kg  Lote: "&amp;IFERROR(INDEX(C118:C617,MATCH(A155,A118:A617,0)),"?"),"")</f>
        <v/>
      </c>
      <c r="E155" s="32"/>
      <c r="F155" s="32"/>
      <c r="G155" s="32"/>
      <c r="H155" s="32"/>
    </row>
    <row r="156" spans="1:8" ht="16.5" customHeight="1" x14ac:dyDescent="0.25">
      <c r="A156" s="15"/>
      <c r="B156" s="16"/>
      <c r="C156" s="26"/>
      <c r="D156" s="33" t="str">
        <f t="shared" ref="D156" si="4">IF(AND(A156&lt;&gt;"",COUNTIF(A120:A619,A156)&gt;1),"⚠️ JÁ PESADO! Peso: "&amp;TEXT(IFERROR(INDEX(B120:B619,MATCH(A156,A120:A619,0)),0),"#,##0.0")&amp;" kg  Lote: "&amp;IFERROR(INDEX(C120:C619,MATCH(A156,A120:A619,0)),"?"),"")</f>
        <v/>
      </c>
      <c r="E156" s="33"/>
      <c r="F156" s="33"/>
      <c r="G156" s="33"/>
      <c r="H156" s="33"/>
    </row>
    <row r="157" spans="1:8" ht="16.5" customHeight="1" x14ac:dyDescent="0.25">
      <c r="A157" s="17"/>
      <c r="B157" s="18"/>
      <c r="C157" s="27"/>
      <c r="D157" s="32" t="str">
        <f t="shared" ref="D157" si="5">IF(AND(A157&lt;&gt;"",COUNTIF(A120:A619,A157)&gt;1),"⚠️ JÁ PESADO! Peso: "&amp;TEXT(IFERROR(INDEX(B120:B619,MATCH(A157,A120:A619,0)),0),"#,##0.0")&amp;" kg  Lote: "&amp;IFERROR(INDEX(C120:C619,MATCH(A157,A120:A619,0)),"?"),"")</f>
        <v/>
      </c>
      <c r="E157" s="32"/>
      <c r="F157" s="32"/>
      <c r="G157" s="32"/>
      <c r="H157" s="32"/>
    </row>
    <row r="158" spans="1:8" ht="16.5" customHeight="1" x14ac:dyDescent="0.25">
      <c r="A158" s="15"/>
      <c r="B158" s="16"/>
      <c r="C158" s="26"/>
      <c r="D158" s="33" t="str">
        <f t="shared" ref="D158" si="6">IF(AND(A158&lt;&gt;"",COUNTIF(A122:A621,A158)&gt;1),"⚠️ JÁ PESADO! Peso: "&amp;TEXT(IFERROR(INDEX(B122:B621,MATCH(A158,A122:A621,0)),0),"#,##0.0")&amp;" kg  Lote: "&amp;IFERROR(INDEX(C122:C621,MATCH(A158,A122:A621,0)),"?"),"")</f>
        <v/>
      </c>
      <c r="E158" s="33"/>
      <c r="F158" s="33"/>
      <c r="G158" s="33"/>
      <c r="H158" s="33"/>
    </row>
    <row r="159" spans="1:8" ht="16.5" customHeight="1" x14ac:dyDescent="0.25">
      <c r="A159" s="17"/>
      <c r="B159" s="18"/>
      <c r="C159" s="27"/>
      <c r="D159" s="32" t="str">
        <f t="shared" ref="D159" si="7">IF(AND(A159&lt;&gt;"",COUNTIF(A122:A621,A159)&gt;1),"⚠️ JÁ PESADO! Peso: "&amp;TEXT(IFERROR(INDEX(B122:B621,MATCH(A159,A122:A621,0)),0),"#,##0.0")&amp;" kg  Lote: "&amp;IFERROR(INDEX(C122:C621,MATCH(A159,A122:A621,0)),"?"),"")</f>
        <v/>
      </c>
      <c r="E159" s="32"/>
      <c r="F159" s="32"/>
      <c r="G159" s="32"/>
      <c r="H159" s="32"/>
    </row>
    <row r="160" spans="1:8" ht="16.5" customHeight="1" x14ac:dyDescent="0.25">
      <c r="A160" s="15"/>
      <c r="B160" s="16"/>
      <c r="C160" s="26"/>
      <c r="D160" s="33" t="str">
        <f t="shared" ref="D160" si="8">IF(AND(A160&lt;&gt;"",COUNTIF(A124:A623,A160)&gt;1),"⚠️ JÁ PESADO! Peso: "&amp;TEXT(IFERROR(INDEX(B124:B623,MATCH(A160,A124:A623,0)),0),"#,##0.0")&amp;" kg  Lote: "&amp;IFERROR(INDEX(C124:C623,MATCH(A160,A124:A623,0)),"?"),"")</f>
        <v/>
      </c>
      <c r="E160" s="33"/>
      <c r="F160" s="33"/>
      <c r="G160" s="33"/>
      <c r="H160" s="33"/>
    </row>
    <row r="161" spans="1:8" ht="16.5" customHeight="1" x14ac:dyDescent="0.25">
      <c r="A161" s="17"/>
      <c r="B161" s="18"/>
      <c r="C161" s="27"/>
      <c r="D161" s="32" t="str">
        <f t="shared" ref="D161" si="9">IF(AND(A161&lt;&gt;"",COUNTIF(A124:A623,A161)&gt;1),"⚠️ JÁ PESADO! Peso: "&amp;TEXT(IFERROR(INDEX(B124:B623,MATCH(A161,A124:A623,0)),0),"#,##0.0")&amp;" kg  Lote: "&amp;IFERROR(INDEX(C124:C623,MATCH(A161,A124:A623,0)),"?"),"")</f>
        <v/>
      </c>
      <c r="E161" s="32"/>
      <c r="F161" s="32"/>
      <c r="G161" s="32"/>
      <c r="H161" s="32"/>
    </row>
    <row r="162" spans="1:8" ht="16.5" customHeight="1" x14ac:dyDescent="0.25">
      <c r="A162" s="15"/>
      <c r="B162" s="16"/>
      <c r="C162" s="26"/>
      <c r="D162" s="33" t="str">
        <f t="shared" ref="D162" si="10">IF(AND(A162&lt;&gt;"",COUNTIF(A126:A625,A162)&gt;1),"⚠️ JÁ PESADO! Peso: "&amp;TEXT(IFERROR(INDEX(B126:B625,MATCH(A162,A126:A625,0)),0),"#,##0.0")&amp;" kg  Lote: "&amp;IFERROR(INDEX(C126:C625,MATCH(A162,A126:A625,0)),"?"),"")</f>
        <v/>
      </c>
      <c r="E162" s="33"/>
      <c r="F162" s="33"/>
      <c r="G162" s="33"/>
      <c r="H162" s="33"/>
    </row>
    <row r="163" spans="1:8" ht="16.5" customHeight="1" x14ac:dyDescent="0.25">
      <c r="A163" s="17"/>
      <c r="B163" s="18"/>
      <c r="C163" s="27"/>
      <c r="D163" s="32" t="str">
        <f t="shared" ref="D163" si="11">IF(AND(A163&lt;&gt;"",COUNTIF(A126:A625,A163)&gt;1),"⚠️ JÁ PESADO! Peso: "&amp;TEXT(IFERROR(INDEX(B126:B625,MATCH(A163,A126:A625,0)),0),"#,##0.0")&amp;" kg  Lote: "&amp;IFERROR(INDEX(C126:C625,MATCH(A163,A126:A625,0)),"?"),"")</f>
        <v/>
      </c>
      <c r="E163" s="32"/>
      <c r="F163" s="32"/>
      <c r="G163" s="32"/>
      <c r="H163" s="32"/>
    </row>
    <row r="164" spans="1:8" ht="16.5" customHeight="1" x14ac:dyDescent="0.25">
      <c r="A164" s="15"/>
      <c r="B164" s="16"/>
      <c r="C164" s="26"/>
      <c r="D164" s="33" t="str">
        <f t="shared" ref="D164" si="12">IF(AND(A164&lt;&gt;"",COUNTIF(A128:A627,A164)&gt;1),"⚠️ JÁ PESADO! Peso: "&amp;TEXT(IFERROR(INDEX(B128:B627,MATCH(A164,A128:A627,0)),0),"#,##0.0")&amp;" kg  Lote: "&amp;IFERROR(INDEX(C128:C627,MATCH(A164,A128:A627,0)),"?"),"")</f>
        <v/>
      </c>
      <c r="E164" s="33"/>
      <c r="F164" s="33"/>
      <c r="G164" s="33"/>
      <c r="H164" s="33"/>
    </row>
    <row r="165" spans="1:8" ht="16.5" customHeight="1" x14ac:dyDescent="0.25">
      <c r="A165" s="17"/>
      <c r="B165" s="18"/>
      <c r="C165" s="27"/>
      <c r="D165" s="32" t="str">
        <f t="shared" ref="D165" si="13">IF(AND(A165&lt;&gt;"",COUNTIF(A128:A627,A165)&gt;1),"⚠️ JÁ PESADO! Peso: "&amp;TEXT(IFERROR(INDEX(B128:B627,MATCH(A165,A128:A627,0)),0),"#,##0.0")&amp;" kg  Lote: "&amp;IFERROR(INDEX(C128:C627,MATCH(A165,A128:A627,0)),"?"),"")</f>
        <v/>
      </c>
      <c r="E165" s="32"/>
      <c r="F165" s="32"/>
      <c r="G165" s="32"/>
      <c r="H165" s="32"/>
    </row>
    <row r="166" spans="1:8" ht="16.5" customHeight="1" x14ac:dyDescent="0.25">
      <c r="A166" s="15"/>
      <c r="B166" s="16"/>
      <c r="C166" s="26"/>
      <c r="D166" s="33" t="str">
        <f t="shared" ref="D166" si="14">IF(AND(A166&lt;&gt;"",COUNTIF(A130:A629,A166)&gt;1),"⚠️ JÁ PESADO! Peso: "&amp;TEXT(IFERROR(INDEX(B130:B629,MATCH(A166,A130:A629,0)),0),"#,##0.0")&amp;" kg  Lote: "&amp;IFERROR(INDEX(C130:C629,MATCH(A166,A130:A629,0)),"?"),"")</f>
        <v/>
      </c>
      <c r="E166" s="33"/>
      <c r="F166" s="33"/>
      <c r="G166" s="33"/>
      <c r="H166" s="33"/>
    </row>
    <row r="167" spans="1:8" ht="16.5" customHeight="1" x14ac:dyDescent="0.25">
      <c r="A167" s="17"/>
      <c r="B167" s="18"/>
      <c r="C167" s="27"/>
      <c r="D167" s="32" t="str">
        <f t="shared" ref="D167" si="15">IF(AND(A167&lt;&gt;"",COUNTIF(A130:A629,A167)&gt;1),"⚠️ JÁ PESADO! Peso: "&amp;TEXT(IFERROR(INDEX(B130:B629,MATCH(A167,A130:A629,0)),0),"#,##0.0")&amp;" kg  Lote: "&amp;IFERROR(INDEX(C130:C629,MATCH(A167,A130:A629,0)),"?"),"")</f>
        <v/>
      </c>
      <c r="E167" s="32"/>
      <c r="F167" s="32"/>
      <c r="G167" s="32"/>
      <c r="H167" s="32"/>
    </row>
    <row r="168" spans="1:8" ht="16.5" customHeight="1" x14ac:dyDescent="0.25">
      <c r="A168" s="15"/>
      <c r="B168" s="16"/>
      <c r="C168" s="26"/>
      <c r="D168" s="33" t="str">
        <f t="shared" ref="D168" si="16">IF(AND(A168&lt;&gt;"",COUNTIF(A132:A631,A168)&gt;1),"⚠️ JÁ PESADO! Peso: "&amp;TEXT(IFERROR(INDEX(B132:B631,MATCH(A168,A132:A631,0)),0),"#,##0.0")&amp;" kg  Lote: "&amp;IFERROR(INDEX(C132:C631,MATCH(A168,A132:A631,0)),"?"),"")</f>
        <v/>
      </c>
      <c r="E168" s="33"/>
      <c r="F168" s="33"/>
      <c r="G168" s="33"/>
      <c r="H168" s="33"/>
    </row>
    <row r="169" spans="1:8" ht="16.5" customHeight="1" x14ac:dyDescent="0.25">
      <c r="A169" s="17"/>
      <c r="B169" s="18"/>
      <c r="C169" s="27"/>
      <c r="D169" s="32" t="str">
        <f t="shared" ref="D169" si="17">IF(AND(A169&lt;&gt;"",COUNTIF(A132:A631,A169)&gt;1),"⚠️ JÁ PESADO! Peso: "&amp;TEXT(IFERROR(INDEX(B132:B631,MATCH(A169,A132:A631,0)),0),"#,##0.0")&amp;" kg  Lote: "&amp;IFERROR(INDEX(C132:C631,MATCH(A169,A132:A631,0)),"?"),"")</f>
        <v/>
      </c>
      <c r="E169" s="32"/>
      <c r="F169" s="32"/>
      <c r="G169" s="32"/>
      <c r="H169" s="32"/>
    </row>
    <row r="170" spans="1:8" ht="16.5" customHeight="1" x14ac:dyDescent="0.25">
      <c r="A170" s="15"/>
      <c r="B170" s="16"/>
      <c r="C170" s="26"/>
      <c r="D170" s="33" t="str">
        <f t="shared" ref="D170" si="18">IF(AND(A170&lt;&gt;"",COUNTIF(A134:A633,A170)&gt;1),"⚠️ JÁ PESADO! Peso: "&amp;TEXT(IFERROR(INDEX(B134:B633,MATCH(A170,A134:A633,0)),0),"#,##0.0")&amp;" kg  Lote: "&amp;IFERROR(INDEX(C134:C633,MATCH(A170,A134:A633,0)),"?"),"")</f>
        <v/>
      </c>
      <c r="E170" s="33"/>
      <c r="F170" s="33"/>
      <c r="G170" s="33"/>
      <c r="H170" s="33"/>
    </row>
    <row r="171" spans="1:8" ht="16.5" customHeight="1" x14ac:dyDescent="0.25">
      <c r="A171" s="17"/>
      <c r="B171" s="18"/>
      <c r="C171" s="27"/>
      <c r="D171" s="32" t="str">
        <f t="shared" ref="D171" si="19">IF(AND(A171&lt;&gt;"",COUNTIF(A134:A633,A171)&gt;1),"⚠️ JÁ PESADO! Peso: "&amp;TEXT(IFERROR(INDEX(B134:B633,MATCH(A171,A134:A633,0)),0),"#,##0.0")&amp;" kg  Lote: "&amp;IFERROR(INDEX(C134:C633,MATCH(A171,A134:A633,0)),"?"),"")</f>
        <v/>
      </c>
      <c r="E171" s="32"/>
      <c r="F171" s="32"/>
      <c r="G171" s="32"/>
      <c r="H171" s="32"/>
    </row>
    <row r="172" spans="1:8" ht="16.5" customHeight="1" x14ac:dyDescent="0.25">
      <c r="A172" s="15"/>
      <c r="B172" s="16"/>
      <c r="C172" s="26"/>
      <c r="D172" s="33" t="str">
        <f t="shared" ref="D172" si="20">IF(AND(A172&lt;&gt;"",COUNTIF(A136:A635,A172)&gt;1),"⚠️ JÁ PESADO! Peso: "&amp;TEXT(IFERROR(INDEX(B136:B635,MATCH(A172,A136:A635,0)),0),"#,##0.0")&amp;" kg  Lote: "&amp;IFERROR(INDEX(C136:C635,MATCH(A172,A136:A635,0)),"?"),"")</f>
        <v/>
      </c>
      <c r="E172" s="33"/>
      <c r="F172" s="33"/>
      <c r="G172" s="33"/>
      <c r="H172" s="33"/>
    </row>
    <row r="173" spans="1:8" ht="16.5" customHeight="1" x14ac:dyDescent="0.25">
      <c r="A173" s="17"/>
      <c r="B173" s="18"/>
      <c r="C173" s="27"/>
      <c r="D173" s="32" t="str">
        <f t="shared" ref="D173" si="21">IF(AND(A173&lt;&gt;"",COUNTIF(A136:A635,A173)&gt;1),"⚠️ JÁ PESADO! Peso: "&amp;TEXT(IFERROR(INDEX(B136:B635,MATCH(A173,A136:A635,0)),0),"#,##0.0")&amp;" kg  Lote: "&amp;IFERROR(INDEX(C136:C635,MATCH(A173,A136:A635,0)),"?"),"")</f>
        <v/>
      </c>
      <c r="E173" s="32"/>
      <c r="F173" s="32"/>
      <c r="G173" s="32"/>
      <c r="H173" s="32"/>
    </row>
    <row r="174" spans="1:8" ht="16.5" customHeight="1" x14ac:dyDescent="0.25">
      <c r="A174" s="15"/>
      <c r="B174" s="16"/>
      <c r="C174" s="26"/>
      <c r="D174" s="33" t="str">
        <f t="shared" ref="D174" si="22">IF(AND(A174&lt;&gt;"",COUNTIF(A138:A637,A174)&gt;1),"⚠️ JÁ PESADO! Peso: "&amp;TEXT(IFERROR(INDEX(B138:B637,MATCH(A174,A138:A637,0)),0),"#,##0.0")&amp;" kg  Lote: "&amp;IFERROR(INDEX(C138:C637,MATCH(A174,A138:A637,0)),"?"),"")</f>
        <v/>
      </c>
      <c r="E174" s="33"/>
      <c r="F174" s="33"/>
      <c r="G174" s="33"/>
      <c r="H174" s="33"/>
    </row>
    <row r="175" spans="1:8" ht="16.5" customHeight="1" x14ac:dyDescent="0.25">
      <c r="A175" s="17"/>
      <c r="B175" s="18"/>
      <c r="C175" s="27"/>
      <c r="D175" s="32" t="str">
        <f t="shared" ref="D175" si="23">IF(AND(A175&lt;&gt;"",COUNTIF(A138:A637,A175)&gt;1),"⚠️ JÁ PESADO! Peso: "&amp;TEXT(IFERROR(INDEX(B138:B637,MATCH(A175,A138:A637,0)),0),"#,##0.0")&amp;" kg  Lote: "&amp;IFERROR(INDEX(C138:C637,MATCH(A175,A138:A637,0)),"?"),"")</f>
        <v/>
      </c>
      <c r="E175" s="32"/>
      <c r="F175" s="32"/>
      <c r="G175" s="32"/>
      <c r="H175" s="32"/>
    </row>
    <row r="176" spans="1:8" ht="16.5" customHeight="1" x14ac:dyDescent="0.25">
      <c r="A176" s="15"/>
      <c r="B176" s="16"/>
      <c r="C176" s="26"/>
      <c r="D176" s="33" t="str">
        <f t="shared" ref="D176" si="24">IF(AND(A176&lt;&gt;"",COUNTIF(A140:A639,A176)&gt;1),"⚠️ JÁ PESADO! Peso: "&amp;TEXT(IFERROR(INDEX(B140:B639,MATCH(A176,A140:A639,0)),0),"#,##0.0")&amp;" kg  Lote: "&amp;IFERROR(INDEX(C140:C639,MATCH(A176,A140:A639,0)),"?"),"")</f>
        <v/>
      </c>
      <c r="E176" s="33"/>
      <c r="F176" s="33"/>
      <c r="G176" s="33"/>
      <c r="H176" s="33"/>
    </row>
    <row r="177" spans="1:8" ht="16.5" customHeight="1" x14ac:dyDescent="0.25">
      <c r="A177" s="17"/>
      <c r="B177" s="18"/>
      <c r="C177" s="27"/>
      <c r="D177" s="32" t="str">
        <f t="shared" ref="D177" si="25">IF(AND(A177&lt;&gt;"",COUNTIF(A140:A639,A177)&gt;1),"⚠️ JÁ PESADO! Peso: "&amp;TEXT(IFERROR(INDEX(B140:B639,MATCH(A177,A140:A639,0)),0),"#,##0.0")&amp;" kg  Lote: "&amp;IFERROR(INDEX(C140:C639,MATCH(A177,A140:A639,0)),"?"),"")</f>
        <v/>
      </c>
      <c r="E177" s="32"/>
      <c r="F177" s="32"/>
      <c r="G177" s="32"/>
      <c r="H177" s="32"/>
    </row>
    <row r="178" spans="1:8" ht="16.5" customHeight="1" x14ac:dyDescent="0.25">
      <c r="A178" s="15"/>
      <c r="B178" s="16"/>
      <c r="C178" s="26"/>
      <c r="D178" s="33" t="str">
        <f t="shared" ref="D178" si="26">IF(AND(A178&lt;&gt;"",COUNTIF(A142:A641,A178)&gt;1),"⚠️ JÁ PESADO! Peso: "&amp;TEXT(IFERROR(INDEX(B142:B641,MATCH(A178,A142:A641,0)),0),"#,##0.0")&amp;" kg  Lote: "&amp;IFERROR(INDEX(C142:C641,MATCH(A178,A142:A641,0)),"?"),"")</f>
        <v/>
      </c>
      <c r="E178" s="33"/>
      <c r="F178" s="33"/>
      <c r="G178" s="33"/>
      <c r="H178" s="33"/>
    </row>
    <row r="179" spans="1:8" ht="16.5" customHeight="1" x14ac:dyDescent="0.25">
      <c r="A179" s="17"/>
      <c r="B179" s="18"/>
      <c r="C179" s="27"/>
      <c r="D179" s="32" t="str">
        <f t="shared" ref="D179" si="27">IF(AND(A179&lt;&gt;"",COUNTIF(A142:A641,A179)&gt;1),"⚠️ JÁ PESADO! Peso: "&amp;TEXT(IFERROR(INDEX(B142:B641,MATCH(A179,A142:A641,0)),0),"#,##0.0")&amp;" kg  Lote: "&amp;IFERROR(INDEX(C142:C641,MATCH(A179,A142:A641,0)),"?"),"")</f>
        <v/>
      </c>
      <c r="E179" s="32"/>
      <c r="F179" s="32"/>
      <c r="G179" s="32"/>
      <c r="H179" s="32"/>
    </row>
    <row r="180" spans="1:8" ht="16.5" customHeight="1" x14ac:dyDescent="0.25">
      <c r="A180" s="15"/>
      <c r="B180" s="16"/>
      <c r="C180" s="26"/>
      <c r="D180" s="33" t="str">
        <f t="shared" ref="D180" si="28">IF(AND(A180&lt;&gt;"",COUNTIF(A144:A643,A180)&gt;1),"⚠️ JÁ PESADO! Peso: "&amp;TEXT(IFERROR(INDEX(B144:B643,MATCH(A180,A144:A643,0)),0),"#,##0.0")&amp;" kg  Lote: "&amp;IFERROR(INDEX(C144:C643,MATCH(A180,A144:A643,0)),"?"),"")</f>
        <v/>
      </c>
      <c r="E180" s="33"/>
      <c r="F180" s="33"/>
      <c r="G180" s="33"/>
      <c r="H180" s="33"/>
    </row>
    <row r="181" spans="1:8" ht="16.5" customHeight="1" x14ac:dyDescent="0.25">
      <c r="A181" s="17"/>
      <c r="B181" s="18"/>
      <c r="C181" s="27"/>
      <c r="D181" s="32" t="str">
        <f t="shared" ref="D181" si="29">IF(AND(A181&lt;&gt;"",COUNTIF(A144:A643,A181)&gt;1),"⚠️ JÁ PESADO! Peso: "&amp;TEXT(IFERROR(INDEX(B144:B643,MATCH(A181,A144:A643,0)),0),"#,##0.0")&amp;" kg  Lote: "&amp;IFERROR(INDEX(C144:C643,MATCH(A181,A144:A643,0)),"?"),"")</f>
        <v/>
      </c>
      <c r="E181" s="32"/>
      <c r="F181" s="32"/>
      <c r="G181" s="32"/>
      <c r="H181" s="32"/>
    </row>
    <row r="182" spans="1:8" ht="16.5" customHeight="1" x14ac:dyDescent="0.25">
      <c r="A182" s="15"/>
      <c r="B182" s="16"/>
      <c r="C182" s="26"/>
      <c r="D182" s="33" t="str">
        <f t="shared" ref="D182" si="30">IF(AND(A182&lt;&gt;"",COUNTIF(A146:A645,A182)&gt;1),"⚠️ JÁ PESADO! Peso: "&amp;TEXT(IFERROR(INDEX(B146:B645,MATCH(A182,A146:A645,0)),0),"#,##0.0")&amp;" kg  Lote: "&amp;IFERROR(INDEX(C146:C645,MATCH(A182,A146:A645,0)),"?"),"")</f>
        <v/>
      </c>
      <c r="E182" s="33"/>
      <c r="F182" s="33"/>
      <c r="G182" s="33"/>
      <c r="H182" s="33"/>
    </row>
    <row r="183" spans="1:8" ht="16.5" customHeight="1" x14ac:dyDescent="0.25">
      <c r="A183" s="17"/>
      <c r="B183" s="18"/>
      <c r="C183" s="27"/>
      <c r="D183" s="32" t="str">
        <f t="shared" ref="D183" si="31">IF(AND(A183&lt;&gt;"",COUNTIF(A146:A645,A183)&gt;1),"⚠️ JÁ PESADO! Peso: "&amp;TEXT(IFERROR(INDEX(B146:B645,MATCH(A183,A146:A645,0)),0),"#,##0.0")&amp;" kg  Lote: "&amp;IFERROR(INDEX(C146:C645,MATCH(A183,A146:A645,0)),"?"),"")</f>
        <v/>
      </c>
      <c r="E183" s="32"/>
      <c r="F183" s="32"/>
      <c r="G183" s="32"/>
      <c r="H183" s="32"/>
    </row>
    <row r="184" spans="1:8" ht="16.5" customHeight="1" x14ac:dyDescent="0.25">
      <c r="A184" s="15"/>
      <c r="B184" s="16"/>
      <c r="C184" s="26"/>
      <c r="D184" s="33" t="str">
        <f t="shared" ref="D184" si="32">IF(AND(A184&lt;&gt;"",COUNTIF(A148:A647,A184)&gt;1),"⚠️ JÁ PESADO! Peso: "&amp;TEXT(IFERROR(INDEX(B148:B647,MATCH(A184,A148:A647,0)),0),"#,##0.0")&amp;" kg  Lote: "&amp;IFERROR(INDEX(C148:C647,MATCH(A184,A148:A647,0)),"?"),"")</f>
        <v/>
      </c>
      <c r="E184" s="33"/>
      <c r="F184" s="33"/>
      <c r="G184" s="33"/>
      <c r="H184" s="33"/>
    </row>
    <row r="185" spans="1:8" ht="16.5" customHeight="1" x14ac:dyDescent="0.25">
      <c r="A185" s="17"/>
      <c r="B185" s="18"/>
      <c r="C185" s="27"/>
      <c r="D185" s="32" t="str">
        <f t="shared" ref="D185" si="33">IF(AND(A185&lt;&gt;"",COUNTIF(A148:A647,A185)&gt;1),"⚠️ JÁ PESADO! Peso: "&amp;TEXT(IFERROR(INDEX(B148:B647,MATCH(A185,A148:A647,0)),0),"#,##0.0")&amp;" kg  Lote: "&amp;IFERROR(INDEX(C148:C647,MATCH(A185,A148:A647,0)),"?"),"")</f>
        <v/>
      </c>
      <c r="E185" s="32"/>
      <c r="F185" s="32"/>
      <c r="G185" s="32"/>
      <c r="H185" s="32"/>
    </row>
    <row r="186" spans="1:8" ht="16.5" customHeight="1" x14ac:dyDescent="0.25">
      <c r="A186" s="15"/>
      <c r="B186" s="16"/>
      <c r="C186" s="26"/>
      <c r="D186" s="33" t="str">
        <f t="shared" ref="D186" si="34">IF(AND(A186&lt;&gt;"",COUNTIF(A150:A649,A186)&gt;1),"⚠️ JÁ PESADO! Peso: "&amp;TEXT(IFERROR(INDEX(B150:B649,MATCH(A186,A150:A649,0)),0),"#,##0.0")&amp;" kg  Lote: "&amp;IFERROR(INDEX(C150:C649,MATCH(A186,A150:A649,0)),"?"),"")</f>
        <v/>
      </c>
      <c r="E186" s="33"/>
      <c r="F186" s="33"/>
      <c r="G186" s="33"/>
      <c r="H186" s="33"/>
    </row>
    <row r="187" spans="1:8" ht="16.5" customHeight="1" x14ac:dyDescent="0.25">
      <c r="A187" s="17"/>
      <c r="B187" s="18"/>
      <c r="C187" s="27"/>
      <c r="D187" s="32" t="str">
        <f t="shared" ref="D187" si="35">IF(AND(A187&lt;&gt;"",COUNTIF(A150:A649,A187)&gt;1),"⚠️ JÁ PESADO! Peso: "&amp;TEXT(IFERROR(INDEX(B150:B649,MATCH(A187,A150:A649,0)),0),"#,##0.0")&amp;" kg  Lote: "&amp;IFERROR(INDEX(C150:C649,MATCH(A187,A150:A649,0)),"?"),"")</f>
        <v/>
      </c>
      <c r="E187" s="32"/>
      <c r="F187" s="32"/>
      <c r="G187" s="32"/>
      <c r="H187" s="32"/>
    </row>
    <row r="188" spans="1:8" ht="16.5" customHeight="1" x14ac:dyDescent="0.25">
      <c r="A188" s="15"/>
      <c r="B188" s="16"/>
      <c r="C188" s="26"/>
      <c r="D188" s="33" t="str">
        <f t="shared" ref="D188" si="36">IF(AND(A188&lt;&gt;"",COUNTIF(A152:A651,A188)&gt;1),"⚠️ JÁ PESADO! Peso: "&amp;TEXT(IFERROR(INDEX(B152:B651,MATCH(A188,A152:A651,0)),0),"#,##0.0")&amp;" kg  Lote: "&amp;IFERROR(INDEX(C152:C651,MATCH(A188,A152:A651,0)),"?"),"")</f>
        <v/>
      </c>
      <c r="E188" s="33"/>
      <c r="F188" s="33"/>
      <c r="G188" s="33"/>
      <c r="H188" s="33"/>
    </row>
    <row r="189" spans="1:8" ht="16.5" customHeight="1" x14ac:dyDescent="0.25">
      <c r="A189" s="17"/>
      <c r="B189" s="18"/>
      <c r="C189" s="27"/>
      <c r="D189" s="32" t="str">
        <f t="shared" ref="D189" si="37">IF(AND(A189&lt;&gt;"",COUNTIF(A152:A651,A189)&gt;1),"⚠️ JÁ PESADO! Peso: "&amp;TEXT(IFERROR(INDEX(B152:B651,MATCH(A189,A152:A651,0)),0),"#,##0.0")&amp;" kg  Lote: "&amp;IFERROR(INDEX(C152:C651,MATCH(A189,A152:A651,0)),"?"),"")</f>
        <v/>
      </c>
      <c r="E189" s="32"/>
      <c r="F189" s="32"/>
      <c r="G189" s="32"/>
      <c r="H189" s="32"/>
    </row>
    <row r="190" spans="1:8" ht="16.5" customHeight="1" x14ac:dyDescent="0.25">
      <c r="A190" s="15"/>
      <c r="B190" s="16"/>
      <c r="C190" s="26"/>
      <c r="D190" s="33" t="str">
        <f t="shared" ref="D190" si="38">IF(AND(A190&lt;&gt;"",COUNTIF(A154:A653,A190)&gt;1),"⚠️ JÁ PESADO! Peso: "&amp;TEXT(IFERROR(INDEX(B154:B653,MATCH(A190,A154:A653,0)),0),"#,##0.0")&amp;" kg  Lote: "&amp;IFERROR(INDEX(C154:C653,MATCH(A190,A154:A653,0)),"?"),"")</f>
        <v/>
      </c>
      <c r="E190" s="33"/>
      <c r="F190" s="33"/>
      <c r="G190" s="33"/>
      <c r="H190" s="33"/>
    </row>
    <row r="191" spans="1:8" ht="16.5" customHeight="1" x14ac:dyDescent="0.25">
      <c r="A191" s="17"/>
      <c r="B191" s="18"/>
      <c r="C191" s="27"/>
      <c r="D191" s="32" t="str">
        <f t="shared" ref="D191" si="39">IF(AND(A191&lt;&gt;"",COUNTIF(A154:A653,A191)&gt;1),"⚠️ JÁ PESADO! Peso: "&amp;TEXT(IFERROR(INDEX(B154:B653,MATCH(A191,A154:A653,0)),0),"#,##0.0")&amp;" kg  Lote: "&amp;IFERROR(INDEX(C154:C653,MATCH(A191,A154:A653,0)),"?"),"")</f>
        <v/>
      </c>
      <c r="E191" s="32"/>
      <c r="F191" s="32"/>
      <c r="G191" s="32"/>
      <c r="H191" s="32"/>
    </row>
    <row r="192" spans="1:8" ht="16.5" customHeight="1" x14ac:dyDescent="0.25">
      <c r="A192" s="15"/>
      <c r="B192" s="16"/>
      <c r="C192" s="26"/>
      <c r="D192" s="33" t="str">
        <f t="shared" ref="D192" si="40">IF(AND(A192&lt;&gt;"",COUNTIF(A156:A655,A192)&gt;1),"⚠️ JÁ PESADO! Peso: "&amp;TEXT(IFERROR(INDEX(B156:B655,MATCH(A192,A156:A655,0)),0),"#,##0.0")&amp;" kg  Lote: "&amp;IFERROR(INDEX(C156:C655,MATCH(A192,A156:A655,0)),"?"),"")</f>
        <v/>
      </c>
      <c r="E192" s="33"/>
      <c r="F192" s="33"/>
      <c r="G192" s="33"/>
      <c r="H192" s="33"/>
    </row>
    <row r="193" spans="1:8" ht="16.5" customHeight="1" x14ac:dyDescent="0.25">
      <c r="A193" s="17"/>
      <c r="B193" s="18"/>
      <c r="C193" s="27"/>
      <c r="D193" s="32" t="str">
        <f t="shared" ref="D193" si="41">IF(AND(A193&lt;&gt;"",COUNTIF(A156:A655,A193)&gt;1),"⚠️ JÁ PESADO! Peso: "&amp;TEXT(IFERROR(INDEX(B156:B655,MATCH(A193,A156:A655,0)),0),"#,##0.0")&amp;" kg  Lote: "&amp;IFERROR(INDEX(C156:C655,MATCH(A193,A156:A655,0)),"?"),"")</f>
        <v/>
      </c>
      <c r="E193" s="32"/>
      <c r="F193" s="32"/>
      <c r="G193" s="32"/>
      <c r="H193" s="32"/>
    </row>
    <row r="194" spans="1:8" ht="16.5" customHeight="1" x14ac:dyDescent="0.25">
      <c r="A194" s="15"/>
      <c r="B194" s="16"/>
      <c r="C194" s="26"/>
      <c r="D194" s="33" t="str">
        <f t="shared" ref="D194" si="42">IF(AND(A194&lt;&gt;"",COUNTIF(A158:A657,A194)&gt;1),"⚠️ JÁ PESADO! Peso: "&amp;TEXT(IFERROR(INDEX(B158:B657,MATCH(A194,A158:A657,0)),0),"#,##0.0")&amp;" kg  Lote: "&amp;IFERROR(INDEX(C158:C657,MATCH(A194,A158:A657,0)),"?"),"")</f>
        <v/>
      </c>
      <c r="E194" s="33"/>
      <c r="F194" s="33"/>
      <c r="G194" s="33"/>
      <c r="H194" s="33"/>
    </row>
    <row r="195" spans="1:8" ht="16.5" customHeight="1" x14ac:dyDescent="0.25">
      <c r="A195" s="17"/>
      <c r="B195" s="18"/>
      <c r="C195" s="27"/>
      <c r="D195" s="32" t="str">
        <f t="shared" ref="D195" si="43">IF(AND(A195&lt;&gt;"",COUNTIF(A158:A657,A195)&gt;1),"⚠️ JÁ PESADO! Peso: "&amp;TEXT(IFERROR(INDEX(B158:B657,MATCH(A195,A158:A657,0)),0),"#,##0.0")&amp;" kg  Lote: "&amp;IFERROR(INDEX(C158:C657,MATCH(A195,A158:A657,0)),"?"),"")</f>
        <v/>
      </c>
      <c r="E195" s="32"/>
      <c r="F195" s="32"/>
      <c r="G195" s="32"/>
      <c r="H195" s="32"/>
    </row>
    <row r="196" spans="1:8" ht="16.5" customHeight="1" x14ac:dyDescent="0.25">
      <c r="A196" s="15"/>
      <c r="B196" s="16"/>
      <c r="C196" s="26"/>
      <c r="D196" s="33" t="str">
        <f t="shared" ref="D196" si="44">IF(AND(A196&lt;&gt;"",COUNTIF(A160:A659,A196)&gt;1),"⚠️ JÁ PESADO! Peso: "&amp;TEXT(IFERROR(INDEX(B160:B659,MATCH(A196,A160:A659,0)),0),"#,##0.0")&amp;" kg  Lote: "&amp;IFERROR(INDEX(C160:C659,MATCH(A196,A160:A659,0)),"?"),"")</f>
        <v/>
      </c>
      <c r="E196" s="33"/>
      <c r="F196" s="33"/>
      <c r="G196" s="33"/>
      <c r="H196" s="33"/>
    </row>
    <row r="197" spans="1:8" ht="16.5" customHeight="1" x14ac:dyDescent="0.25">
      <c r="A197" s="17"/>
      <c r="B197" s="18"/>
      <c r="C197" s="27"/>
      <c r="D197" s="32" t="str">
        <f t="shared" ref="D197" si="45">IF(AND(A197&lt;&gt;"",COUNTIF(A160:A659,A197)&gt;1),"⚠️ JÁ PESADO! Peso: "&amp;TEXT(IFERROR(INDEX(B160:B659,MATCH(A197,A160:A659,0)),0),"#,##0.0")&amp;" kg  Lote: "&amp;IFERROR(INDEX(C160:C659,MATCH(A197,A160:A659,0)),"?"),"")</f>
        <v/>
      </c>
      <c r="E197" s="32"/>
      <c r="F197" s="32"/>
      <c r="G197" s="32"/>
      <c r="H197" s="32"/>
    </row>
    <row r="198" spans="1:8" ht="16.5" customHeight="1" x14ac:dyDescent="0.25">
      <c r="A198" s="15"/>
      <c r="B198" s="16"/>
      <c r="C198" s="26"/>
      <c r="D198" s="33" t="str">
        <f t="shared" ref="D198" si="46">IF(AND(A198&lt;&gt;"",COUNTIF(A162:A661,A198)&gt;1),"⚠️ JÁ PESADO! Peso: "&amp;TEXT(IFERROR(INDEX(B162:B661,MATCH(A198,A162:A661,0)),0),"#,##0.0")&amp;" kg  Lote: "&amp;IFERROR(INDEX(C162:C661,MATCH(A198,A162:A661,0)),"?"),"")</f>
        <v/>
      </c>
      <c r="E198" s="33"/>
      <c r="F198" s="33"/>
      <c r="G198" s="33"/>
      <c r="H198" s="33"/>
    </row>
    <row r="199" spans="1:8" ht="16.5" customHeight="1" x14ac:dyDescent="0.25">
      <c r="A199" s="17"/>
      <c r="B199" s="18"/>
      <c r="C199" s="27"/>
      <c r="D199" s="32" t="str">
        <f t="shared" ref="D199" si="47">IF(AND(A199&lt;&gt;"",COUNTIF(A162:A661,A199)&gt;1),"⚠️ JÁ PESADO! Peso: "&amp;TEXT(IFERROR(INDEX(B162:B661,MATCH(A199,A162:A661,0)),0),"#,##0.0")&amp;" kg  Lote: "&amp;IFERROR(INDEX(C162:C661,MATCH(A199,A162:A661,0)),"?"),"")</f>
        <v/>
      </c>
      <c r="E199" s="32"/>
      <c r="F199" s="32"/>
      <c r="G199" s="32"/>
      <c r="H199" s="32"/>
    </row>
    <row r="200" spans="1:8" ht="16.5" customHeight="1" x14ac:dyDescent="0.25">
      <c r="A200" s="15"/>
      <c r="B200" s="16"/>
      <c r="C200" s="26"/>
      <c r="D200" s="33" t="str">
        <f t="shared" ref="D200" si="48">IF(AND(A200&lt;&gt;"",COUNTIF(A164:A663,A200)&gt;1),"⚠️ JÁ PESADO! Peso: "&amp;TEXT(IFERROR(INDEX(B164:B663,MATCH(A200,A164:A663,0)),0),"#,##0.0")&amp;" kg  Lote: "&amp;IFERROR(INDEX(C164:C663,MATCH(A200,A164:A663,0)),"?"),"")</f>
        <v/>
      </c>
      <c r="E200" s="33"/>
      <c r="F200" s="33"/>
      <c r="G200" s="33"/>
      <c r="H200" s="33"/>
    </row>
    <row r="201" spans="1:8" ht="16.5" customHeight="1" x14ac:dyDescent="0.25">
      <c r="A201" s="17"/>
      <c r="B201" s="18"/>
      <c r="C201" s="27"/>
      <c r="D201" s="32" t="str">
        <f t="shared" ref="D201" si="49">IF(AND(A201&lt;&gt;"",COUNTIF(A164:A663,A201)&gt;1),"⚠️ JÁ PESADO! Peso: "&amp;TEXT(IFERROR(INDEX(B164:B663,MATCH(A201,A164:A663,0)),0),"#,##0.0")&amp;" kg  Lote: "&amp;IFERROR(INDEX(C164:C663,MATCH(A201,A164:A663,0)),"?"),"")</f>
        <v/>
      </c>
      <c r="E201" s="32"/>
      <c r="F201" s="32"/>
      <c r="G201" s="32"/>
      <c r="H201" s="32"/>
    </row>
    <row r="202" spans="1:8" ht="16.5" customHeight="1" x14ac:dyDescent="0.25">
      <c r="A202" s="15"/>
      <c r="B202" s="16"/>
      <c r="C202" s="26"/>
      <c r="D202" s="33" t="str">
        <f t="shared" ref="D202" si="50">IF(AND(A202&lt;&gt;"",COUNTIF(A166:A665,A202)&gt;1),"⚠️ JÁ PESADO! Peso: "&amp;TEXT(IFERROR(INDEX(B166:B665,MATCH(A202,A166:A665,0)),0),"#,##0.0")&amp;" kg  Lote: "&amp;IFERROR(INDEX(C166:C665,MATCH(A202,A166:A665,0)),"?"),"")</f>
        <v/>
      </c>
      <c r="E202" s="33"/>
      <c r="F202" s="33"/>
      <c r="G202" s="33"/>
      <c r="H202" s="33"/>
    </row>
    <row r="203" spans="1:8" ht="16.5" customHeight="1" x14ac:dyDescent="0.25">
      <c r="A203" s="17"/>
      <c r="B203" s="18"/>
      <c r="C203" s="27"/>
      <c r="D203" s="32" t="str">
        <f t="shared" ref="D203" si="51">IF(AND(A203&lt;&gt;"",COUNTIF(A166:A665,A203)&gt;1),"⚠️ JÁ PESADO! Peso: "&amp;TEXT(IFERROR(INDEX(B166:B665,MATCH(A203,A166:A665,0)),0),"#,##0.0")&amp;" kg  Lote: "&amp;IFERROR(INDEX(C166:C665,MATCH(A203,A166:A665,0)),"?"),"")</f>
        <v/>
      </c>
      <c r="E203" s="32"/>
      <c r="F203" s="32"/>
      <c r="G203" s="32"/>
      <c r="H203" s="32"/>
    </row>
    <row r="204" spans="1:8" ht="16.5" customHeight="1" x14ac:dyDescent="0.25">
      <c r="A204" s="15"/>
      <c r="B204" s="16"/>
      <c r="C204" s="26"/>
      <c r="D204" s="33" t="str">
        <f t="shared" ref="D204" si="52">IF(AND(A204&lt;&gt;"",COUNTIF(A168:A667,A204)&gt;1),"⚠️ JÁ PESADO! Peso: "&amp;TEXT(IFERROR(INDEX(B168:B667,MATCH(A204,A168:A667,0)),0),"#,##0.0")&amp;" kg  Lote: "&amp;IFERROR(INDEX(C168:C667,MATCH(A204,A168:A667,0)),"?"),"")</f>
        <v/>
      </c>
      <c r="E204" s="33"/>
      <c r="F204" s="33"/>
      <c r="G204" s="33"/>
      <c r="H204" s="33"/>
    </row>
    <row r="205" spans="1:8" ht="16.5" customHeight="1" x14ac:dyDescent="0.25">
      <c r="A205" s="17"/>
      <c r="B205" s="18"/>
      <c r="C205" s="27"/>
      <c r="D205" s="32" t="str">
        <f t="shared" ref="D205" si="53">IF(AND(A205&lt;&gt;"",COUNTIF(A168:A667,A205)&gt;1),"⚠️ JÁ PESADO! Peso: "&amp;TEXT(IFERROR(INDEX(B168:B667,MATCH(A205,A168:A667,0)),0),"#,##0.0")&amp;" kg  Lote: "&amp;IFERROR(INDEX(C168:C667,MATCH(A205,A168:A667,0)),"?"),"")</f>
        <v/>
      </c>
      <c r="E205" s="32"/>
      <c r="F205" s="32"/>
      <c r="G205" s="32"/>
      <c r="H205" s="32"/>
    </row>
    <row r="206" spans="1:8" ht="16.5" customHeight="1" x14ac:dyDescent="0.25">
      <c r="A206" s="15"/>
      <c r="B206" s="16"/>
      <c r="C206" s="26"/>
      <c r="D206" s="33" t="str">
        <f t="shared" ref="D206" si="54">IF(AND(A206&lt;&gt;"",COUNTIF(A170:A669,A206)&gt;1),"⚠️ JÁ PESADO! Peso: "&amp;TEXT(IFERROR(INDEX(B170:B669,MATCH(A206,A170:A669,0)),0),"#,##0.0")&amp;" kg  Lote: "&amp;IFERROR(INDEX(C170:C669,MATCH(A206,A170:A669,0)),"?"),"")</f>
        <v/>
      </c>
      <c r="E206" s="33"/>
      <c r="F206" s="33"/>
      <c r="G206" s="33"/>
      <c r="H206" s="33"/>
    </row>
    <row r="207" spans="1:8" ht="16.5" customHeight="1" x14ac:dyDescent="0.25">
      <c r="A207" s="17"/>
      <c r="B207" s="18"/>
      <c r="C207" s="27"/>
      <c r="D207" s="32" t="str">
        <f t="shared" ref="D207" si="55">IF(AND(A207&lt;&gt;"",COUNTIF(A170:A669,A207)&gt;1),"⚠️ JÁ PESADO! Peso: "&amp;TEXT(IFERROR(INDEX(B170:B669,MATCH(A207,A170:A669,0)),0),"#,##0.0")&amp;" kg  Lote: "&amp;IFERROR(INDEX(C170:C669,MATCH(A207,A170:A669,0)),"?"),"")</f>
        <v/>
      </c>
      <c r="E207" s="32"/>
      <c r="F207" s="32"/>
      <c r="G207" s="32"/>
      <c r="H207" s="32"/>
    </row>
    <row r="208" spans="1:8" ht="16.5" customHeight="1" x14ac:dyDescent="0.25">
      <c r="A208" s="15"/>
      <c r="B208" s="16"/>
      <c r="C208" s="26"/>
      <c r="D208" s="33" t="str">
        <f t="shared" ref="D208" si="56">IF(AND(A208&lt;&gt;"",COUNTIF(A172:A671,A208)&gt;1),"⚠️ JÁ PESADO! Peso: "&amp;TEXT(IFERROR(INDEX(B172:B671,MATCH(A208,A172:A671,0)),0),"#,##0.0")&amp;" kg  Lote: "&amp;IFERROR(INDEX(C172:C671,MATCH(A208,A172:A671,0)),"?"),"")</f>
        <v/>
      </c>
      <c r="E208" s="33"/>
      <c r="F208" s="33"/>
      <c r="G208" s="33"/>
      <c r="H208" s="33"/>
    </row>
    <row r="209" spans="1:8" ht="16.5" customHeight="1" x14ac:dyDescent="0.25">
      <c r="A209" s="17"/>
      <c r="B209" s="18"/>
      <c r="C209" s="27"/>
      <c r="D209" s="32" t="str">
        <f t="shared" ref="D209" si="57">IF(AND(A209&lt;&gt;"",COUNTIF(A172:A671,A209)&gt;1),"⚠️ JÁ PESADO! Peso: "&amp;TEXT(IFERROR(INDEX(B172:B671,MATCH(A209,A172:A671,0)),0),"#,##0.0")&amp;" kg  Lote: "&amp;IFERROR(INDEX(C172:C671,MATCH(A209,A172:A671,0)),"?"),"")</f>
        <v/>
      </c>
      <c r="E209" s="32"/>
      <c r="F209" s="32"/>
      <c r="G209" s="32"/>
      <c r="H209" s="32"/>
    </row>
    <row r="210" spans="1:8" ht="16.5" customHeight="1" x14ac:dyDescent="0.25">
      <c r="A210" s="15"/>
      <c r="B210" s="16"/>
      <c r="C210" s="26"/>
      <c r="D210" s="33" t="str">
        <f t="shared" ref="D210" si="58">IF(AND(A210&lt;&gt;"",COUNTIF(A174:A673,A210)&gt;1),"⚠️ JÁ PESADO! Peso: "&amp;TEXT(IFERROR(INDEX(B174:B673,MATCH(A210,A174:A673,0)),0),"#,##0.0")&amp;" kg  Lote: "&amp;IFERROR(INDEX(C174:C673,MATCH(A210,A174:A673,0)),"?"),"")</f>
        <v/>
      </c>
      <c r="E210" s="33"/>
      <c r="F210" s="33"/>
      <c r="G210" s="33"/>
      <c r="H210" s="33"/>
    </row>
    <row r="211" spans="1:8" ht="16.5" customHeight="1" x14ac:dyDescent="0.25">
      <c r="A211" s="17"/>
      <c r="B211" s="18"/>
      <c r="C211" s="27"/>
      <c r="D211" s="32" t="str">
        <f t="shared" ref="D211" si="59">IF(AND(A211&lt;&gt;"",COUNTIF(A174:A673,A211)&gt;1),"⚠️ JÁ PESADO! Peso: "&amp;TEXT(IFERROR(INDEX(B174:B673,MATCH(A211,A174:A673,0)),0),"#,##0.0")&amp;" kg  Lote: "&amp;IFERROR(INDEX(C174:C673,MATCH(A211,A174:A673,0)),"?"),"")</f>
        <v/>
      </c>
      <c r="E211" s="32"/>
      <c r="F211" s="32"/>
      <c r="G211" s="32"/>
      <c r="H211" s="32"/>
    </row>
    <row r="212" spans="1:8" ht="16.5" customHeight="1" x14ac:dyDescent="0.25">
      <c r="A212" s="15"/>
      <c r="B212" s="16"/>
      <c r="C212" s="26"/>
      <c r="D212" s="33" t="str">
        <f t="shared" ref="D212" si="60">IF(AND(A212&lt;&gt;"",COUNTIF(A176:A675,A212)&gt;1),"⚠️ JÁ PESADO! Peso: "&amp;TEXT(IFERROR(INDEX(B176:B675,MATCH(A212,A176:A675,0)),0),"#,##0.0")&amp;" kg  Lote: "&amp;IFERROR(INDEX(C176:C675,MATCH(A212,A176:A675,0)),"?"),"")</f>
        <v/>
      </c>
      <c r="E212" s="33"/>
      <c r="F212" s="33"/>
      <c r="G212" s="33"/>
      <c r="H212" s="33"/>
    </row>
    <row r="213" spans="1:8" ht="16.5" customHeight="1" x14ac:dyDescent="0.25">
      <c r="A213" s="17"/>
      <c r="B213" s="18"/>
      <c r="C213" s="27"/>
      <c r="D213" s="32" t="str">
        <f t="shared" ref="D213" si="61">IF(AND(A213&lt;&gt;"",COUNTIF(A176:A675,A213)&gt;1),"⚠️ JÁ PESADO! Peso: "&amp;TEXT(IFERROR(INDEX(B176:B675,MATCH(A213,A176:A675,0)),0),"#,##0.0")&amp;" kg  Lote: "&amp;IFERROR(INDEX(C176:C675,MATCH(A213,A176:A675,0)),"?"),"")</f>
        <v/>
      </c>
      <c r="E213" s="32"/>
      <c r="F213" s="32"/>
      <c r="G213" s="32"/>
      <c r="H213" s="32"/>
    </row>
    <row r="214" spans="1:8" ht="16.5" customHeight="1" x14ac:dyDescent="0.25">
      <c r="A214" s="15"/>
      <c r="B214" s="16"/>
      <c r="C214" s="26"/>
      <c r="D214" s="33" t="str">
        <f t="shared" ref="D214" si="62">IF(AND(A214&lt;&gt;"",COUNTIF(A178:A677,A214)&gt;1),"⚠️ JÁ PESADO! Peso: "&amp;TEXT(IFERROR(INDEX(B178:B677,MATCH(A214,A178:A677,0)),0),"#,##0.0")&amp;" kg  Lote: "&amp;IFERROR(INDEX(C178:C677,MATCH(A214,A178:A677,0)),"?"),"")</f>
        <v/>
      </c>
      <c r="E214" s="33"/>
      <c r="F214" s="33"/>
      <c r="G214" s="33"/>
      <c r="H214" s="33"/>
    </row>
    <row r="215" spans="1:8" ht="16.5" customHeight="1" x14ac:dyDescent="0.25">
      <c r="A215" s="17"/>
      <c r="B215" s="18"/>
      <c r="C215" s="27"/>
      <c r="D215" s="32" t="str">
        <f t="shared" ref="D215" si="63">IF(AND(A215&lt;&gt;"",COUNTIF(A178:A677,A215)&gt;1),"⚠️ JÁ PESADO! Peso: "&amp;TEXT(IFERROR(INDEX(B178:B677,MATCH(A215,A178:A677,0)),0),"#,##0.0")&amp;" kg  Lote: "&amp;IFERROR(INDEX(C178:C677,MATCH(A215,A178:A677,0)),"?"),"")</f>
        <v/>
      </c>
      <c r="E215" s="32"/>
      <c r="F215" s="32"/>
      <c r="G215" s="32"/>
      <c r="H215" s="32"/>
    </row>
    <row r="216" spans="1:8" ht="16.5" customHeight="1" x14ac:dyDescent="0.25">
      <c r="A216" s="15"/>
      <c r="B216" s="16"/>
      <c r="C216" s="26"/>
      <c r="D216" s="33" t="str">
        <f t="shared" ref="D216" si="64">IF(AND(A216&lt;&gt;"",COUNTIF(A180:A679,A216)&gt;1),"⚠️ JÁ PESADO! Peso: "&amp;TEXT(IFERROR(INDEX(B180:B679,MATCH(A216,A180:A679,0)),0),"#,##0.0")&amp;" kg  Lote: "&amp;IFERROR(INDEX(C180:C679,MATCH(A216,A180:A679,0)),"?"),"")</f>
        <v/>
      </c>
      <c r="E216" s="33"/>
      <c r="F216" s="33"/>
      <c r="G216" s="33"/>
      <c r="H216" s="33"/>
    </row>
    <row r="217" spans="1:8" ht="16.5" customHeight="1" x14ac:dyDescent="0.25">
      <c r="A217" s="17"/>
      <c r="B217" s="18"/>
      <c r="C217" s="27"/>
      <c r="D217" s="32" t="str">
        <f t="shared" ref="D217" si="65">IF(AND(A217&lt;&gt;"",COUNTIF(A180:A679,A217)&gt;1),"⚠️ JÁ PESADO! Peso: "&amp;TEXT(IFERROR(INDEX(B180:B679,MATCH(A217,A180:A679,0)),0),"#,##0.0")&amp;" kg  Lote: "&amp;IFERROR(INDEX(C180:C679,MATCH(A217,A180:A679,0)),"?"),"")</f>
        <v/>
      </c>
      <c r="E217" s="32"/>
      <c r="F217" s="32"/>
      <c r="G217" s="32"/>
      <c r="H217" s="32"/>
    </row>
    <row r="218" spans="1:8" ht="16.5" customHeight="1" x14ac:dyDescent="0.25">
      <c r="A218" s="15"/>
      <c r="B218" s="16"/>
      <c r="C218" s="26"/>
      <c r="D218" s="33" t="str">
        <f t="shared" ref="D218" si="66">IF(AND(A218&lt;&gt;"",COUNTIF(A182:A681,A218)&gt;1),"⚠️ JÁ PESADO! Peso: "&amp;TEXT(IFERROR(INDEX(B182:B681,MATCH(A218,A182:A681,0)),0),"#,##0.0")&amp;" kg  Lote: "&amp;IFERROR(INDEX(C182:C681,MATCH(A218,A182:A681,0)),"?"),"")</f>
        <v/>
      </c>
      <c r="E218" s="33"/>
      <c r="F218" s="33"/>
      <c r="G218" s="33"/>
      <c r="H218" s="33"/>
    </row>
    <row r="219" spans="1:8" ht="16.5" customHeight="1" x14ac:dyDescent="0.25">
      <c r="A219" s="17"/>
      <c r="B219" s="18"/>
      <c r="C219" s="27"/>
      <c r="D219" s="32" t="str">
        <f t="shared" ref="D219" si="67">IF(AND(A219&lt;&gt;"",COUNTIF(A182:A681,A219)&gt;1),"⚠️ JÁ PESADO! Peso: "&amp;TEXT(IFERROR(INDEX(B182:B681,MATCH(A219,A182:A681,0)),0),"#,##0.0")&amp;" kg  Lote: "&amp;IFERROR(INDEX(C182:C681,MATCH(A219,A182:A681,0)),"?"),"")</f>
        <v/>
      </c>
      <c r="E219" s="32"/>
      <c r="F219" s="32"/>
      <c r="G219" s="32"/>
      <c r="H219" s="32"/>
    </row>
    <row r="220" spans="1:8" ht="16.5" customHeight="1" x14ac:dyDescent="0.25">
      <c r="A220" s="15"/>
      <c r="B220" s="16"/>
      <c r="C220" s="26"/>
      <c r="D220" s="33" t="str">
        <f t="shared" ref="D220" si="68">IF(AND(A220&lt;&gt;"",COUNTIF(A184:A683,A220)&gt;1),"⚠️ JÁ PESADO! Peso: "&amp;TEXT(IFERROR(INDEX(B184:B683,MATCH(A220,A184:A683,0)),0),"#,##0.0")&amp;" kg  Lote: "&amp;IFERROR(INDEX(C184:C683,MATCH(A220,A184:A683,0)),"?"),"")</f>
        <v/>
      </c>
      <c r="E220" s="33"/>
      <c r="F220" s="33"/>
      <c r="G220" s="33"/>
      <c r="H220" s="33"/>
    </row>
    <row r="221" spans="1:8" ht="16.5" customHeight="1" x14ac:dyDescent="0.25">
      <c r="A221" s="17"/>
      <c r="B221" s="18"/>
      <c r="C221" s="27"/>
      <c r="D221" s="32" t="str">
        <f t="shared" ref="D221" si="69">IF(AND(A221&lt;&gt;"",COUNTIF(A184:A683,A221)&gt;1),"⚠️ JÁ PESADO! Peso: "&amp;TEXT(IFERROR(INDEX(B184:B683,MATCH(A221,A184:A683,0)),0),"#,##0.0")&amp;" kg  Lote: "&amp;IFERROR(INDEX(C184:C683,MATCH(A221,A184:A683,0)),"?"),"")</f>
        <v/>
      </c>
      <c r="E221" s="32"/>
      <c r="F221" s="32"/>
      <c r="G221" s="32"/>
      <c r="H221" s="32"/>
    </row>
    <row r="222" spans="1:8" ht="16.5" customHeight="1" x14ac:dyDescent="0.25">
      <c r="A222" s="15"/>
      <c r="B222" s="16"/>
      <c r="C222" s="26"/>
      <c r="D222" s="33" t="str">
        <f t="shared" ref="D222" si="70">IF(AND(A222&lt;&gt;"",COUNTIF(A186:A685,A222)&gt;1),"⚠️ JÁ PESADO! Peso: "&amp;TEXT(IFERROR(INDEX(B186:B685,MATCH(A222,A186:A685,0)),0),"#,##0.0")&amp;" kg  Lote: "&amp;IFERROR(INDEX(C186:C685,MATCH(A222,A186:A685,0)),"?"),"")</f>
        <v/>
      </c>
      <c r="E222" s="33"/>
      <c r="F222" s="33"/>
      <c r="G222" s="33"/>
      <c r="H222" s="33"/>
    </row>
    <row r="223" spans="1:8" ht="16.5" customHeight="1" x14ac:dyDescent="0.25">
      <c r="A223" s="17"/>
      <c r="B223" s="18"/>
      <c r="C223" s="27"/>
      <c r="D223" s="32" t="str">
        <f t="shared" ref="D223" si="71">IF(AND(A223&lt;&gt;"",COUNTIF(A186:A685,A223)&gt;1),"⚠️ JÁ PESADO! Peso: "&amp;TEXT(IFERROR(INDEX(B186:B685,MATCH(A223,A186:A685,0)),0),"#,##0.0")&amp;" kg  Lote: "&amp;IFERROR(INDEX(C186:C685,MATCH(A223,A186:A685,0)),"?"),"")</f>
        <v/>
      </c>
      <c r="E223" s="32"/>
      <c r="F223" s="32"/>
      <c r="G223" s="32"/>
      <c r="H223" s="32"/>
    </row>
    <row r="224" spans="1:8" ht="16.5" customHeight="1" x14ac:dyDescent="0.25">
      <c r="A224" s="15"/>
      <c r="B224" s="16"/>
      <c r="C224" s="26"/>
      <c r="D224" s="33" t="str">
        <f t="shared" ref="D224" si="72">IF(AND(A224&lt;&gt;"",COUNTIF(A188:A687,A224)&gt;1),"⚠️ JÁ PESADO! Peso: "&amp;TEXT(IFERROR(INDEX(B188:B687,MATCH(A224,A188:A687,0)),0),"#,##0.0")&amp;" kg  Lote: "&amp;IFERROR(INDEX(C188:C687,MATCH(A224,A188:A687,0)),"?"),"")</f>
        <v/>
      </c>
      <c r="E224" s="33"/>
      <c r="F224" s="33"/>
      <c r="G224" s="33"/>
      <c r="H224" s="33"/>
    </row>
    <row r="225" spans="1:8" ht="16.5" customHeight="1" x14ac:dyDescent="0.25">
      <c r="A225" s="17"/>
      <c r="B225" s="18"/>
      <c r="C225" s="27"/>
      <c r="D225" s="32" t="str">
        <f t="shared" ref="D225" si="73">IF(AND(A225&lt;&gt;"",COUNTIF(A188:A687,A225)&gt;1),"⚠️ JÁ PESADO! Peso: "&amp;TEXT(IFERROR(INDEX(B188:B687,MATCH(A225,A188:A687,0)),0),"#,##0.0")&amp;" kg  Lote: "&amp;IFERROR(INDEX(C188:C687,MATCH(A225,A188:A687,0)),"?"),"")</f>
        <v/>
      </c>
      <c r="E225" s="32"/>
      <c r="F225" s="32"/>
      <c r="G225" s="32"/>
      <c r="H225" s="32"/>
    </row>
    <row r="226" spans="1:8" ht="16.5" customHeight="1" x14ac:dyDescent="0.25">
      <c r="A226" s="15"/>
      <c r="B226" s="16"/>
      <c r="C226" s="26"/>
      <c r="D226" s="33" t="str">
        <f t="shared" ref="D226" si="74">IF(AND(A226&lt;&gt;"",COUNTIF(A190:A689,A226)&gt;1),"⚠️ JÁ PESADO! Peso: "&amp;TEXT(IFERROR(INDEX(B190:B689,MATCH(A226,A190:A689,0)),0),"#,##0.0")&amp;" kg  Lote: "&amp;IFERROR(INDEX(C190:C689,MATCH(A226,A190:A689,0)),"?"),"")</f>
        <v/>
      </c>
      <c r="E226" s="33"/>
      <c r="F226" s="33"/>
      <c r="G226" s="33"/>
      <c r="H226" s="33"/>
    </row>
    <row r="227" spans="1:8" ht="16.5" customHeight="1" x14ac:dyDescent="0.25">
      <c r="A227" s="17"/>
      <c r="B227" s="18"/>
      <c r="C227" s="27"/>
      <c r="D227" s="32" t="str">
        <f t="shared" ref="D227" si="75">IF(AND(A227&lt;&gt;"",COUNTIF(A190:A689,A227)&gt;1),"⚠️ JÁ PESADO! Peso: "&amp;TEXT(IFERROR(INDEX(B190:B689,MATCH(A227,A190:A689,0)),0),"#,##0.0")&amp;" kg  Lote: "&amp;IFERROR(INDEX(C190:C689,MATCH(A227,A190:A689,0)),"?"),"")</f>
        <v/>
      </c>
      <c r="E227" s="32"/>
      <c r="F227" s="32"/>
      <c r="G227" s="32"/>
      <c r="H227" s="32"/>
    </row>
    <row r="228" spans="1:8" ht="16.5" customHeight="1" x14ac:dyDescent="0.25">
      <c r="A228" s="15"/>
      <c r="B228" s="16"/>
      <c r="C228" s="26"/>
      <c r="D228" s="33" t="str">
        <f t="shared" ref="D228" si="76">IF(AND(A228&lt;&gt;"",COUNTIF(A192:A691,A228)&gt;1),"⚠️ JÁ PESADO! Peso: "&amp;TEXT(IFERROR(INDEX(B192:B691,MATCH(A228,A192:A691,0)),0),"#,##0.0")&amp;" kg  Lote: "&amp;IFERROR(INDEX(C192:C691,MATCH(A228,A192:A691,0)),"?"),"")</f>
        <v/>
      </c>
      <c r="E228" s="33"/>
      <c r="F228" s="33"/>
      <c r="G228" s="33"/>
      <c r="H228" s="33"/>
    </row>
    <row r="229" spans="1:8" ht="16.5" customHeight="1" x14ac:dyDescent="0.25">
      <c r="A229" s="17"/>
      <c r="B229" s="18"/>
      <c r="C229" s="27"/>
      <c r="D229" s="32" t="str">
        <f t="shared" ref="D229" si="77">IF(AND(A229&lt;&gt;"",COUNTIF(A192:A691,A229)&gt;1),"⚠️ JÁ PESADO! Peso: "&amp;TEXT(IFERROR(INDEX(B192:B691,MATCH(A229,A192:A691,0)),0),"#,##0.0")&amp;" kg  Lote: "&amp;IFERROR(INDEX(C192:C691,MATCH(A229,A192:A691,0)),"?"),"")</f>
        <v/>
      </c>
      <c r="E229" s="32"/>
      <c r="F229" s="32"/>
      <c r="G229" s="32"/>
      <c r="H229" s="32"/>
    </row>
    <row r="230" spans="1:8" ht="16.5" customHeight="1" x14ac:dyDescent="0.25">
      <c r="A230" s="15"/>
      <c r="B230" s="16"/>
      <c r="C230" s="26"/>
      <c r="D230" s="33" t="str">
        <f t="shared" ref="D230" si="78">IF(AND(A230&lt;&gt;"",COUNTIF(A194:A693,A230)&gt;1),"⚠️ JÁ PESADO! Peso: "&amp;TEXT(IFERROR(INDEX(B194:B693,MATCH(A230,A194:A693,0)),0),"#,##0.0")&amp;" kg  Lote: "&amp;IFERROR(INDEX(C194:C693,MATCH(A230,A194:A693,0)),"?"),"")</f>
        <v/>
      </c>
      <c r="E230" s="33"/>
      <c r="F230" s="33"/>
      <c r="G230" s="33"/>
      <c r="H230" s="33"/>
    </row>
    <row r="231" spans="1:8" ht="16.5" customHeight="1" x14ac:dyDescent="0.25">
      <c r="A231" s="17"/>
      <c r="B231" s="18"/>
      <c r="C231" s="27"/>
      <c r="D231" s="32" t="str">
        <f t="shared" ref="D231" si="79">IF(AND(A231&lt;&gt;"",COUNTIF(A194:A693,A231)&gt;1),"⚠️ JÁ PESADO! Peso: "&amp;TEXT(IFERROR(INDEX(B194:B693,MATCH(A231,A194:A693,0)),0),"#,##0.0")&amp;" kg  Lote: "&amp;IFERROR(INDEX(C194:C693,MATCH(A231,A194:A693,0)),"?"),"")</f>
        <v/>
      </c>
      <c r="E231" s="32"/>
      <c r="F231" s="32"/>
      <c r="G231" s="32"/>
      <c r="H231" s="32"/>
    </row>
    <row r="232" spans="1:8" ht="16.5" customHeight="1" x14ac:dyDescent="0.25">
      <c r="A232" s="15"/>
      <c r="B232" s="16"/>
      <c r="C232" s="26"/>
      <c r="D232" s="33" t="str">
        <f t="shared" ref="D232" si="80">IF(AND(A232&lt;&gt;"",COUNTIF(A196:A695,A232)&gt;1),"⚠️ JÁ PESADO! Peso: "&amp;TEXT(IFERROR(INDEX(B196:B695,MATCH(A232,A196:A695,0)),0),"#,##0.0")&amp;" kg  Lote: "&amp;IFERROR(INDEX(C196:C695,MATCH(A232,A196:A695,0)),"?"),"")</f>
        <v/>
      </c>
      <c r="E232" s="33"/>
      <c r="F232" s="33"/>
      <c r="G232" s="33"/>
      <c r="H232" s="33"/>
    </row>
    <row r="233" spans="1:8" ht="16.5" customHeight="1" x14ac:dyDescent="0.25">
      <c r="A233" s="17"/>
      <c r="B233" s="18"/>
      <c r="C233" s="27"/>
      <c r="D233" s="32" t="str">
        <f t="shared" ref="D233" si="81">IF(AND(A233&lt;&gt;"",COUNTIF(A196:A695,A233)&gt;1),"⚠️ JÁ PESADO! Peso: "&amp;TEXT(IFERROR(INDEX(B196:B695,MATCH(A233,A196:A695,0)),0),"#,##0.0")&amp;" kg  Lote: "&amp;IFERROR(INDEX(C196:C695,MATCH(A233,A196:A695,0)),"?"),"")</f>
        <v/>
      </c>
      <c r="E233" s="32"/>
      <c r="F233" s="32"/>
      <c r="G233" s="32"/>
      <c r="H233" s="32"/>
    </row>
    <row r="234" spans="1:8" ht="16.5" customHeight="1" x14ac:dyDescent="0.25">
      <c r="A234" s="15"/>
      <c r="B234" s="16"/>
      <c r="C234" s="26"/>
      <c r="D234" s="33" t="str">
        <f t="shared" ref="D234" si="82">IF(AND(A234&lt;&gt;"",COUNTIF(A198:A697,A234)&gt;1),"⚠️ JÁ PESADO! Peso: "&amp;TEXT(IFERROR(INDEX(B198:B697,MATCH(A234,A198:A697,0)),0),"#,##0.0")&amp;" kg  Lote: "&amp;IFERROR(INDEX(C198:C697,MATCH(A234,A198:A697,0)),"?"),"")</f>
        <v/>
      </c>
      <c r="E234" s="33"/>
      <c r="F234" s="33"/>
      <c r="G234" s="33"/>
      <c r="H234" s="33"/>
    </row>
    <row r="235" spans="1:8" ht="16.5" customHeight="1" x14ac:dyDescent="0.25">
      <c r="A235" s="17"/>
      <c r="B235" s="18"/>
      <c r="C235" s="27"/>
      <c r="D235" s="32" t="str">
        <f t="shared" ref="D235" si="83">IF(AND(A235&lt;&gt;"",COUNTIF(A198:A697,A235)&gt;1),"⚠️ JÁ PESADO! Peso: "&amp;TEXT(IFERROR(INDEX(B198:B697,MATCH(A235,A198:A697,0)),0),"#,##0.0")&amp;" kg  Lote: "&amp;IFERROR(INDEX(C198:C697,MATCH(A235,A198:A697,0)),"?"),"")</f>
        <v/>
      </c>
      <c r="E235" s="32"/>
      <c r="F235" s="32"/>
      <c r="G235" s="32"/>
      <c r="H235" s="32"/>
    </row>
    <row r="236" spans="1:8" ht="16.5" customHeight="1" x14ac:dyDescent="0.25">
      <c r="A236" s="15"/>
      <c r="B236" s="16"/>
      <c r="C236" s="26"/>
      <c r="D236" s="33" t="str">
        <f t="shared" ref="D236" si="84">IF(AND(A236&lt;&gt;"",COUNTIF(A200:A699,A236)&gt;1),"⚠️ JÁ PESADO! Peso: "&amp;TEXT(IFERROR(INDEX(B200:B699,MATCH(A236,A200:A699,0)),0),"#,##0.0")&amp;" kg  Lote: "&amp;IFERROR(INDEX(C200:C699,MATCH(A236,A200:A699,0)),"?"),"")</f>
        <v/>
      </c>
      <c r="E236" s="33"/>
      <c r="F236" s="33"/>
      <c r="G236" s="33"/>
      <c r="H236" s="33"/>
    </row>
    <row r="237" spans="1:8" ht="16.5" customHeight="1" x14ac:dyDescent="0.25">
      <c r="A237" s="17"/>
      <c r="B237" s="18"/>
      <c r="C237" s="27"/>
      <c r="D237" s="32" t="str">
        <f t="shared" ref="D237" si="85">IF(AND(A237&lt;&gt;"",COUNTIF(A200:A699,A237)&gt;1),"⚠️ JÁ PESADO! Peso: "&amp;TEXT(IFERROR(INDEX(B200:B699,MATCH(A237,A200:A699,0)),0),"#,##0.0")&amp;" kg  Lote: "&amp;IFERROR(INDEX(C200:C699,MATCH(A237,A200:A699,0)),"?"),"")</f>
        <v/>
      </c>
      <c r="E237" s="32"/>
      <c r="F237" s="32"/>
      <c r="G237" s="32"/>
      <c r="H237" s="32"/>
    </row>
    <row r="238" spans="1:8" ht="16.5" customHeight="1" x14ac:dyDescent="0.25">
      <c r="A238" s="15"/>
      <c r="B238" s="16"/>
      <c r="C238" s="26"/>
      <c r="D238" s="33" t="str">
        <f t="shared" ref="D238" si="86">IF(AND(A238&lt;&gt;"",COUNTIF(A202:A701,A238)&gt;1),"⚠️ JÁ PESADO! Peso: "&amp;TEXT(IFERROR(INDEX(B202:B701,MATCH(A238,A202:A701,0)),0),"#,##0.0")&amp;" kg  Lote: "&amp;IFERROR(INDEX(C202:C701,MATCH(A238,A202:A701,0)),"?"),"")</f>
        <v/>
      </c>
      <c r="E238" s="33"/>
      <c r="F238" s="33"/>
      <c r="G238" s="33"/>
      <c r="H238" s="33"/>
    </row>
    <row r="239" spans="1:8" ht="16.5" customHeight="1" x14ac:dyDescent="0.25">
      <c r="A239" s="17"/>
      <c r="B239" s="18"/>
      <c r="C239" s="27"/>
      <c r="D239" s="32" t="str">
        <f t="shared" ref="D239" si="87">IF(AND(A239&lt;&gt;"",COUNTIF(A202:A701,A239)&gt;1),"⚠️ JÁ PESADO! Peso: "&amp;TEXT(IFERROR(INDEX(B202:B701,MATCH(A239,A202:A701,0)),0),"#,##0.0")&amp;" kg  Lote: "&amp;IFERROR(INDEX(C202:C701,MATCH(A239,A202:A701,0)),"?"),"")</f>
        <v/>
      </c>
      <c r="E239" s="32"/>
      <c r="F239" s="32"/>
      <c r="G239" s="32"/>
      <c r="H239" s="32"/>
    </row>
    <row r="240" spans="1:8" ht="16.5" customHeight="1" x14ac:dyDescent="0.25">
      <c r="A240" s="15"/>
      <c r="B240" s="16"/>
      <c r="C240" s="26"/>
      <c r="D240" s="33" t="str">
        <f t="shared" ref="D240" si="88">IF(AND(A240&lt;&gt;"",COUNTIF(A204:A703,A240)&gt;1),"⚠️ JÁ PESADO! Peso: "&amp;TEXT(IFERROR(INDEX(B204:B703,MATCH(A240,A204:A703,0)),0),"#,##0.0")&amp;" kg  Lote: "&amp;IFERROR(INDEX(C204:C703,MATCH(A240,A204:A703,0)),"?"),"")</f>
        <v/>
      </c>
      <c r="E240" s="33"/>
      <c r="F240" s="33"/>
      <c r="G240" s="33"/>
      <c r="H240" s="33"/>
    </row>
    <row r="241" spans="1:8" ht="16.5" customHeight="1" x14ac:dyDescent="0.25">
      <c r="A241" s="17"/>
      <c r="B241" s="18"/>
      <c r="C241" s="27"/>
      <c r="D241" s="32" t="str">
        <f t="shared" ref="D241" si="89">IF(AND(A241&lt;&gt;"",COUNTIF(A204:A703,A241)&gt;1),"⚠️ JÁ PESADO! Peso: "&amp;TEXT(IFERROR(INDEX(B204:B703,MATCH(A241,A204:A703,0)),0),"#,##0.0")&amp;" kg  Lote: "&amp;IFERROR(INDEX(C204:C703,MATCH(A241,A204:A703,0)),"?"),"")</f>
        <v/>
      </c>
      <c r="E241" s="32"/>
      <c r="F241" s="32"/>
      <c r="G241" s="32"/>
      <c r="H241" s="32"/>
    </row>
    <row r="242" spans="1:8" ht="16.5" customHeight="1" x14ac:dyDescent="0.25">
      <c r="A242" s="15"/>
      <c r="B242" s="16"/>
      <c r="C242" s="26"/>
      <c r="D242" s="33" t="str">
        <f t="shared" ref="D242" si="90">IF(AND(A242&lt;&gt;"",COUNTIF(A206:A705,A242)&gt;1),"⚠️ JÁ PESADO! Peso: "&amp;TEXT(IFERROR(INDEX(B206:B705,MATCH(A242,A206:A705,0)),0),"#,##0.0")&amp;" kg  Lote: "&amp;IFERROR(INDEX(C206:C705,MATCH(A242,A206:A705,0)),"?"),"")</f>
        <v/>
      </c>
      <c r="E242" s="33"/>
      <c r="F242" s="33"/>
      <c r="G242" s="33"/>
      <c r="H242" s="33"/>
    </row>
    <row r="243" spans="1:8" ht="16.5" customHeight="1" x14ac:dyDescent="0.25">
      <c r="A243" s="17"/>
      <c r="B243" s="18"/>
      <c r="C243" s="27"/>
      <c r="D243" s="32" t="str">
        <f t="shared" ref="D243" si="91">IF(AND(A243&lt;&gt;"",COUNTIF(A206:A705,A243)&gt;1),"⚠️ JÁ PESADO! Peso: "&amp;TEXT(IFERROR(INDEX(B206:B705,MATCH(A243,A206:A705,0)),0),"#,##0.0")&amp;" kg  Lote: "&amp;IFERROR(INDEX(C206:C705,MATCH(A243,A206:A705,0)),"?"),"")</f>
        <v/>
      </c>
      <c r="E243" s="32"/>
      <c r="F243" s="32"/>
      <c r="G243" s="32"/>
      <c r="H243" s="32"/>
    </row>
    <row r="244" spans="1:8" ht="16.5" customHeight="1" x14ac:dyDescent="0.25">
      <c r="A244" s="15"/>
      <c r="B244" s="16"/>
      <c r="C244" s="26"/>
      <c r="D244" s="33" t="str">
        <f t="shared" ref="D244" si="92">IF(AND(A244&lt;&gt;"",COUNTIF(A208:A707,A244)&gt;1),"⚠️ JÁ PESADO! Peso: "&amp;TEXT(IFERROR(INDEX(B208:B707,MATCH(A244,A208:A707,0)),0),"#,##0.0")&amp;" kg  Lote: "&amp;IFERROR(INDEX(C208:C707,MATCH(A244,A208:A707,0)),"?"),"")</f>
        <v/>
      </c>
      <c r="E244" s="33"/>
      <c r="F244" s="33"/>
      <c r="G244" s="33"/>
      <c r="H244" s="33"/>
    </row>
    <row r="245" spans="1:8" ht="16.5" customHeight="1" x14ac:dyDescent="0.25">
      <c r="A245" s="17"/>
      <c r="B245" s="18"/>
      <c r="C245" s="27"/>
      <c r="D245" s="32" t="str">
        <f t="shared" ref="D245" si="93">IF(AND(A245&lt;&gt;"",COUNTIF(A208:A707,A245)&gt;1),"⚠️ JÁ PESADO! Peso: "&amp;TEXT(IFERROR(INDEX(B208:B707,MATCH(A245,A208:A707,0)),0),"#,##0.0")&amp;" kg  Lote: "&amp;IFERROR(INDEX(C208:C707,MATCH(A245,A208:A707,0)),"?"),"")</f>
        <v/>
      </c>
      <c r="E245" s="32"/>
      <c r="F245" s="32"/>
      <c r="G245" s="32"/>
      <c r="H245" s="32"/>
    </row>
    <row r="246" spans="1:8" ht="16.5" customHeight="1" x14ac:dyDescent="0.25">
      <c r="A246" s="15"/>
      <c r="B246" s="16"/>
      <c r="C246" s="26"/>
      <c r="D246" s="33" t="str">
        <f t="shared" ref="D246" si="94">IF(AND(A246&lt;&gt;"",COUNTIF(A210:A709,A246)&gt;1),"⚠️ JÁ PESADO! Peso: "&amp;TEXT(IFERROR(INDEX(B210:B709,MATCH(A246,A210:A709,0)),0),"#,##0.0")&amp;" kg  Lote: "&amp;IFERROR(INDEX(C210:C709,MATCH(A246,A210:A709,0)),"?"),"")</f>
        <v/>
      </c>
      <c r="E246" s="33"/>
      <c r="F246" s="33"/>
      <c r="G246" s="33"/>
      <c r="H246" s="33"/>
    </row>
    <row r="247" spans="1:8" ht="16.5" customHeight="1" x14ac:dyDescent="0.25">
      <c r="A247" s="17"/>
      <c r="B247" s="18"/>
      <c r="C247" s="27"/>
      <c r="D247" s="32" t="str">
        <f t="shared" ref="D247" si="95">IF(AND(A247&lt;&gt;"",COUNTIF(A210:A709,A247)&gt;1),"⚠️ JÁ PESADO! Peso: "&amp;TEXT(IFERROR(INDEX(B210:B709,MATCH(A247,A210:A709,0)),0),"#,##0.0")&amp;" kg  Lote: "&amp;IFERROR(INDEX(C210:C709,MATCH(A247,A210:A709,0)),"?"),"")</f>
        <v/>
      </c>
      <c r="E247" s="32"/>
      <c r="F247" s="32"/>
      <c r="G247" s="32"/>
      <c r="H247" s="32"/>
    </row>
    <row r="248" spans="1:8" ht="16.5" customHeight="1" x14ac:dyDescent="0.25">
      <c r="A248" s="15"/>
      <c r="B248" s="16"/>
      <c r="C248" s="26"/>
      <c r="D248" s="33" t="str">
        <f t="shared" ref="D248" si="96">IF(AND(A248&lt;&gt;"",COUNTIF(A212:A711,A248)&gt;1),"⚠️ JÁ PESADO! Peso: "&amp;TEXT(IFERROR(INDEX(B212:B711,MATCH(A248,A212:A711,0)),0),"#,##0.0")&amp;" kg  Lote: "&amp;IFERROR(INDEX(C212:C711,MATCH(A248,A212:A711,0)),"?"),"")</f>
        <v/>
      </c>
      <c r="E248" s="33"/>
      <c r="F248" s="33"/>
      <c r="G248" s="33"/>
      <c r="H248" s="33"/>
    </row>
    <row r="249" spans="1:8" ht="16.5" customHeight="1" x14ac:dyDescent="0.25">
      <c r="A249" s="17"/>
      <c r="B249" s="18"/>
      <c r="C249" s="27"/>
      <c r="D249" s="32" t="str">
        <f t="shared" ref="D249" si="97">IF(AND(A249&lt;&gt;"",COUNTIF(A212:A711,A249)&gt;1),"⚠️ JÁ PESADO! Peso: "&amp;TEXT(IFERROR(INDEX(B212:B711,MATCH(A249,A212:A711,0)),0),"#,##0.0")&amp;" kg  Lote: "&amp;IFERROR(INDEX(C212:C711,MATCH(A249,A212:A711,0)),"?"),"")</f>
        <v/>
      </c>
      <c r="E249" s="32"/>
      <c r="F249" s="32"/>
      <c r="G249" s="32"/>
      <c r="H249" s="32"/>
    </row>
    <row r="250" spans="1:8" ht="16.5" customHeight="1" x14ac:dyDescent="0.25">
      <c r="A250" s="15"/>
      <c r="B250" s="16"/>
      <c r="C250" s="26"/>
      <c r="D250" s="33" t="str">
        <f t="shared" ref="D250" si="98">IF(AND(A250&lt;&gt;"",COUNTIF(A214:A713,A250)&gt;1),"⚠️ JÁ PESADO! Peso: "&amp;TEXT(IFERROR(INDEX(B214:B713,MATCH(A250,A214:A713,0)),0),"#,##0.0")&amp;" kg  Lote: "&amp;IFERROR(INDEX(C214:C713,MATCH(A250,A214:A713,0)),"?"),"")</f>
        <v/>
      </c>
      <c r="E250" s="33"/>
      <c r="F250" s="33"/>
      <c r="G250" s="33"/>
      <c r="H250" s="33"/>
    </row>
    <row r="251" spans="1:8" ht="16.5" customHeight="1" x14ac:dyDescent="0.25">
      <c r="A251" s="17"/>
      <c r="B251" s="18"/>
      <c r="C251" s="27"/>
      <c r="D251" s="32" t="str">
        <f t="shared" ref="D251" si="99">IF(AND(A251&lt;&gt;"",COUNTIF(A214:A713,A251)&gt;1),"⚠️ JÁ PESADO! Peso: "&amp;TEXT(IFERROR(INDEX(B214:B713,MATCH(A251,A214:A713,0)),0),"#,##0.0")&amp;" kg  Lote: "&amp;IFERROR(INDEX(C214:C713,MATCH(A251,A214:A713,0)),"?"),"")</f>
        <v/>
      </c>
      <c r="E251" s="32"/>
      <c r="F251" s="32"/>
      <c r="G251" s="32"/>
      <c r="H251" s="32"/>
    </row>
    <row r="252" spans="1:8" ht="16.5" customHeight="1" x14ac:dyDescent="0.25">
      <c r="A252" s="15"/>
      <c r="B252" s="16"/>
      <c r="C252" s="26"/>
      <c r="D252" s="33" t="str">
        <f t="shared" ref="D252" si="100">IF(AND(A252&lt;&gt;"",COUNTIF(A216:A715,A252)&gt;1),"⚠️ JÁ PESADO! Peso: "&amp;TEXT(IFERROR(INDEX(B216:B715,MATCH(A252,A216:A715,0)),0),"#,##0.0")&amp;" kg  Lote: "&amp;IFERROR(INDEX(C216:C715,MATCH(A252,A216:A715,0)),"?"),"")</f>
        <v/>
      </c>
      <c r="E252" s="33"/>
      <c r="F252" s="33"/>
      <c r="G252" s="33"/>
      <c r="H252" s="33"/>
    </row>
    <row r="253" spans="1:8" ht="16.5" customHeight="1" x14ac:dyDescent="0.25">
      <c r="A253" s="17"/>
      <c r="B253" s="18"/>
      <c r="C253" s="27"/>
      <c r="D253" s="32" t="str">
        <f t="shared" ref="D253" si="101">IF(AND(A253&lt;&gt;"",COUNTIF(A216:A715,A253)&gt;1),"⚠️ JÁ PESADO! Peso: "&amp;TEXT(IFERROR(INDEX(B216:B715,MATCH(A253,A216:A715,0)),0),"#,##0.0")&amp;" kg  Lote: "&amp;IFERROR(INDEX(C216:C715,MATCH(A253,A216:A715,0)),"?"),"")</f>
        <v/>
      </c>
      <c r="E253" s="32"/>
      <c r="F253" s="32"/>
      <c r="G253" s="32"/>
      <c r="H253" s="32"/>
    </row>
    <row r="254" spans="1:8" ht="16.5" customHeight="1" x14ac:dyDescent="0.25">
      <c r="A254" s="15"/>
      <c r="B254" s="16"/>
      <c r="C254" s="26"/>
      <c r="D254" s="33" t="str">
        <f t="shared" ref="D254" si="102">IF(AND(A254&lt;&gt;"",COUNTIF(A218:A717,A254)&gt;1),"⚠️ JÁ PESADO! Peso: "&amp;TEXT(IFERROR(INDEX(B218:B717,MATCH(A254,A218:A717,0)),0),"#,##0.0")&amp;" kg  Lote: "&amp;IFERROR(INDEX(C218:C717,MATCH(A254,A218:A717,0)),"?"),"")</f>
        <v/>
      </c>
      <c r="E254" s="33"/>
      <c r="F254" s="33"/>
      <c r="G254" s="33"/>
      <c r="H254" s="33"/>
    </row>
    <row r="255" spans="1:8" ht="16.5" customHeight="1" x14ac:dyDescent="0.25">
      <c r="A255" s="17"/>
      <c r="B255" s="18"/>
      <c r="C255" s="27"/>
      <c r="D255" s="32" t="str">
        <f t="shared" ref="D255" si="103">IF(AND(A255&lt;&gt;"",COUNTIF(A218:A717,A255)&gt;1),"⚠️ JÁ PESADO! Peso: "&amp;TEXT(IFERROR(INDEX(B218:B717,MATCH(A255,A218:A717,0)),0),"#,##0.0")&amp;" kg  Lote: "&amp;IFERROR(INDEX(C218:C717,MATCH(A255,A218:A717,0)),"?"),"")</f>
        <v/>
      </c>
      <c r="E255" s="32"/>
      <c r="F255" s="32"/>
      <c r="G255" s="32"/>
      <c r="H255" s="32"/>
    </row>
    <row r="256" spans="1:8" ht="16.5" customHeight="1" x14ac:dyDescent="0.25">
      <c r="A256" s="15"/>
      <c r="B256" s="16"/>
      <c r="C256" s="26"/>
      <c r="D256" s="33" t="str">
        <f t="shared" ref="D256" si="104">IF(AND(A256&lt;&gt;"",COUNTIF(A220:A719,A256)&gt;1),"⚠️ JÁ PESADO! Peso: "&amp;TEXT(IFERROR(INDEX(B220:B719,MATCH(A256,A220:A719,0)),0),"#,##0.0")&amp;" kg  Lote: "&amp;IFERROR(INDEX(C220:C719,MATCH(A256,A220:A719,0)),"?"),"")</f>
        <v/>
      </c>
      <c r="E256" s="33"/>
      <c r="F256" s="33"/>
      <c r="G256" s="33"/>
      <c r="H256" s="33"/>
    </row>
    <row r="257" spans="1:8" ht="16.5" customHeight="1" x14ac:dyDescent="0.25">
      <c r="A257" s="17"/>
      <c r="B257" s="18"/>
      <c r="C257" s="27"/>
      <c r="D257" s="32" t="str">
        <f t="shared" ref="D257" si="105">IF(AND(A257&lt;&gt;"",COUNTIF(A220:A719,A257)&gt;1),"⚠️ JÁ PESADO! Peso: "&amp;TEXT(IFERROR(INDEX(B220:B719,MATCH(A257,A220:A719,0)),0),"#,##0.0")&amp;" kg  Lote: "&amp;IFERROR(INDEX(C220:C719,MATCH(A257,A220:A719,0)),"?"),"")</f>
        <v/>
      </c>
      <c r="E257" s="32"/>
      <c r="F257" s="32"/>
      <c r="G257" s="32"/>
      <c r="H257" s="32"/>
    </row>
    <row r="258" spans="1:8" ht="16.5" customHeight="1" x14ac:dyDescent="0.25">
      <c r="A258" s="15"/>
      <c r="B258" s="16"/>
      <c r="C258" s="26"/>
      <c r="D258" s="33" t="str">
        <f t="shared" ref="D258" si="106">IF(AND(A258&lt;&gt;"",COUNTIF(A222:A721,A258)&gt;1),"⚠️ JÁ PESADO! Peso: "&amp;TEXT(IFERROR(INDEX(B222:B721,MATCH(A258,A222:A721,0)),0),"#,##0.0")&amp;" kg  Lote: "&amp;IFERROR(INDEX(C222:C721,MATCH(A258,A222:A721,0)),"?"),"")</f>
        <v/>
      </c>
      <c r="E258" s="33"/>
      <c r="F258" s="33"/>
      <c r="G258" s="33"/>
      <c r="H258" s="33"/>
    </row>
    <row r="259" spans="1:8" ht="16.5" customHeight="1" x14ac:dyDescent="0.25">
      <c r="A259" s="17"/>
      <c r="B259" s="18"/>
      <c r="C259" s="27"/>
      <c r="D259" s="32" t="str">
        <f t="shared" ref="D259" si="107">IF(AND(A259&lt;&gt;"",COUNTIF(A222:A721,A259)&gt;1),"⚠️ JÁ PESADO! Peso: "&amp;TEXT(IFERROR(INDEX(B222:B721,MATCH(A259,A222:A721,0)),0),"#,##0.0")&amp;" kg  Lote: "&amp;IFERROR(INDEX(C222:C721,MATCH(A259,A222:A721,0)),"?"),"")</f>
        <v/>
      </c>
      <c r="E259" s="32"/>
      <c r="F259" s="32"/>
      <c r="G259" s="32"/>
      <c r="H259" s="32"/>
    </row>
    <row r="260" spans="1:8" ht="16.5" customHeight="1" x14ac:dyDescent="0.25">
      <c r="A260" s="15"/>
      <c r="B260" s="16"/>
      <c r="C260" s="26"/>
      <c r="D260" s="33" t="str">
        <f t="shared" ref="D260" si="108">IF(AND(A260&lt;&gt;"",COUNTIF(A224:A723,A260)&gt;1),"⚠️ JÁ PESADO! Peso: "&amp;TEXT(IFERROR(INDEX(B224:B723,MATCH(A260,A224:A723,0)),0),"#,##0.0")&amp;" kg  Lote: "&amp;IFERROR(INDEX(C224:C723,MATCH(A260,A224:A723,0)),"?"),"")</f>
        <v/>
      </c>
      <c r="E260" s="33"/>
      <c r="F260" s="33"/>
      <c r="G260" s="33"/>
      <c r="H260" s="33"/>
    </row>
    <row r="261" spans="1:8" ht="16.5" customHeight="1" x14ac:dyDescent="0.25">
      <c r="A261" s="17"/>
      <c r="B261" s="18"/>
      <c r="C261" s="27"/>
      <c r="D261" s="32" t="str">
        <f t="shared" ref="D261" si="109">IF(AND(A261&lt;&gt;"",COUNTIF(A224:A723,A261)&gt;1),"⚠️ JÁ PESADO! Peso: "&amp;TEXT(IFERROR(INDEX(B224:B723,MATCH(A261,A224:A723,0)),0),"#,##0.0")&amp;" kg  Lote: "&amp;IFERROR(INDEX(C224:C723,MATCH(A261,A224:A723,0)),"?"),"")</f>
        <v/>
      </c>
      <c r="E261" s="32"/>
      <c r="F261" s="32"/>
      <c r="G261" s="32"/>
      <c r="H261" s="32"/>
    </row>
    <row r="262" spans="1:8" ht="16.5" customHeight="1" x14ac:dyDescent="0.25">
      <c r="A262" s="15"/>
      <c r="B262" s="16"/>
      <c r="C262" s="26"/>
      <c r="D262" s="33" t="str">
        <f t="shared" ref="D262" si="110">IF(AND(A262&lt;&gt;"",COUNTIF(A226:A725,A262)&gt;1),"⚠️ JÁ PESADO! Peso: "&amp;TEXT(IFERROR(INDEX(B226:B725,MATCH(A262,A226:A725,0)),0),"#,##0.0")&amp;" kg  Lote: "&amp;IFERROR(INDEX(C226:C725,MATCH(A262,A226:A725,0)),"?"),"")</f>
        <v/>
      </c>
      <c r="E262" s="33"/>
      <c r="F262" s="33"/>
      <c r="G262" s="33"/>
      <c r="H262" s="33"/>
    </row>
    <row r="263" spans="1:8" ht="16.5" customHeight="1" x14ac:dyDescent="0.25">
      <c r="A263" s="17"/>
      <c r="B263" s="18"/>
      <c r="C263" s="27"/>
      <c r="D263" s="32" t="str">
        <f t="shared" ref="D263" si="111">IF(AND(A263&lt;&gt;"",COUNTIF(A226:A725,A263)&gt;1),"⚠️ JÁ PESADO! Peso: "&amp;TEXT(IFERROR(INDEX(B226:B725,MATCH(A263,A226:A725,0)),0),"#,##0.0")&amp;" kg  Lote: "&amp;IFERROR(INDEX(C226:C725,MATCH(A263,A226:A725,0)),"?"),"")</f>
        <v/>
      </c>
      <c r="E263" s="32"/>
      <c r="F263" s="32"/>
      <c r="G263" s="32"/>
      <c r="H263" s="32"/>
    </row>
    <row r="264" spans="1:8" ht="16.5" customHeight="1" x14ac:dyDescent="0.25">
      <c r="A264" s="15"/>
      <c r="B264" s="16"/>
      <c r="C264" s="26"/>
      <c r="D264" s="33" t="str">
        <f t="shared" ref="D264" si="112">IF(AND(A264&lt;&gt;"",COUNTIF(A228:A727,A264)&gt;1),"⚠️ JÁ PESADO! Peso: "&amp;TEXT(IFERROR(INDEX(B228:B727,MATCH(A264,A228:A727,0)),0),"#,##0.0")&amp;" kg  Lote: "&amp;IFERROR(INDEX(C228:C727,MATCH(A264,A228:A727,0)),"?"),"")</f>
        <v/>
      </c>
      <c r="E264" s="33"/>
      <c r="F264" s="33"/>
      <c r="G264" s="33"/>
      <c r="H264" s="33"/>
    </row>
    <row r="265" spans="1:8" ht="16.5" customHeight="1" x14ac:dyDescent="0.25">
      <c r="A265" s="17"/>
      <c r="B265" s="18"/>
      <c r="C265" s="27"/>
      <c r="D265" s="32" t="str">
        <f t="shared" ref="D265" si="113">IF(AND(A265&lt;&gt;"",COUNTIF(A228:A727,A265)&gt;1),"⚠️ JÁ PESADO! Peso: "&amp;TEXT(IFERROR(INDEX(B228:B727,MATCH(A265,A228:A727,0)),0),"#,##0.0")&amp;" kg  Lote: "&amp;IFERROR(INDEX(C228:C727,MATCH(A265,A228:A727,0)),"?"),"")</f>
        <v/>
      </c>
      <c r="E265" s="32"/>
      <c r="F265" s="32"/>
      <c r="G265" s="32"/>
      <c r="H265" s="32"/>
    </row>
    <row r="266" spans="1:8" ht="16.5" customHeight="1" x14ac:dyDescent="0.25">
      <c r="A266" s="15"/>
      <c r="B266" s="16"/>
      <c r="C266" s="26"/>
      <c r="D266" s="33" t="str">
        <f t="shared" ref="D266" si="114">IF(AND(A266&lt;&gt;"",COUNTIF(A230:A729,A266)&gt;1),"⚠️ JÁ PESADO! Peso: "&amp;TEXT(IFERROR(INDEX(B230:B729,MATCH(A266,A230:A729,0)),0),"#,##0.0")&amp;" kg  Lote: "&amp;IFERROR(INDEX(C230:C729,MATCH(A266,A230:A729,0)),"?"),"")</f>
        <v/>
      </c>
      <c r="E266" s="33"/>
      <c r="F266" s="33"/>
      <c r="G266" s="33"/>
      <c r="H266" s="33"/>
    </row>
    <row r="267" spans="1:8" ht="16.5" customHeight="1" x14ac:dyDescent="0.25">
      <c r="A267" s="17"/>
      <c r="B267" s="18"/>
      <c r="C267" s="27"/>
      <c r="D267" s="32" t="str">
        <f t="shared" ref="D267" si="115">IF(AND(A267&lt;&gt;"",COUNTIF(A230:A729,A267)&gt;1),"⚠️ JÁ PESADO! Peso: "&amp;TEXT(IFERROR(INDEX(B230:B729,MATCH(A267,A230:A729,0)),0),"#,##0.0")&amp;" kg  Lote: "&amp;IFERROR(INDEX(C230:C729,MATCH(A267,A230:A729,0)),"?"),"")</f>
        <v/>
      </c>
      <c r="E267" s="32"/>
      <c r="F267" s="32"/>
      <c r="G267" s="32"/>
      <c r="H267" s="32"/>
    </row>
    <row r="268" spans="1:8" ht="16.5" customHeight="1" x14ac:dyDescent="0.25">
      <c r="A268" s="15"/>
      <c r="B268" s="16"/>
      <c r="C268" s="26"/>
      <c r="D268" s="33" t="str">
        <f t="shared" ref="D268" si="116">IF(AND(A268&lt;&gt;"",COUNTIF(A232:A731,A268)&gt;1),"⚠️ JÁ PESADO! Peso: "&amp;TEXT(IFERROR(INDEX(B232:B731,MATCH(A268,A232:A731,0)),0),"#,##0.0")&amp;" kg  Lote: "&amp;IFERROR(INDEX(C232:C731,MATCH(A268,A232:A731,0)),"?"),"")</f>
        <v/>
      </c>
      <c r="E268" s="33"/>
      <c r="F268" s="33"/>
      <c r="G268" s="33"/>
      <c r="H268" s="33"/>
    </row>
    <row r="269" spans="1:8" ht="16.5" customHeight="1" x14ac:dyDescent="0.25">
      <c r="A269" s="17"/>
      <c r="B269" s="18"/>
      <c r="C269" s="27"/>
      <c r="D269" s="32" t="str">
        <f t="shared" ref="D269" si="117">IF(AND(A269&lt;&gt;"",COUNTIF(A232:A731,A269)&gt;1),"⚠️ JÁ PESADO! Peso: "&amp;TEXT(IFERROR(INDEX(B232:B731,MATCH(A269,A232:A731,0)),0),"#,##0.0")&amp;" kg  Lote: "&amp;IFERROR(INDEX(C232:C731,MATCH(A269,A232:A731,0)),"?"),"")</f>
        <v/>
      </c>
      <c r="E269" s="32"/>
      <c r="F269" s="32"/>
      <c r="G269" s="32"/>
      <c r="H269" s="32"/>
    </row>
    <row r="270" spans="1:8" ht="16.5" customHeight="1" x14ac:dyDescent="0.25">
      <c r="A270" s="15"/>
      <c r="B270" s="16"/>
      <c r="C270" s="26"/>
      <c r="D270" s="33" t="str">
        <f t="shared" ref="D270" si="118">IF(AND(A270&lt;&gt;"",COUNTIF(A234:A733,A270)&gt;1),"⚠️ JÁ PESADO! Peso: "&amp;TEXT(IFERROR(INDEX(B234:B733,MATCH(A270,A234:A733,0)),0),"#,##0.0")&amp;" kg  Lote: "&amp;IFERROR(INDEX(C234:C733,MATCH(A270,A234:A733,0)),"?"),"")</f>
        <v/>
      </c>
      <c r="E270" s="33"/>
      <c r="F270" s="33"/>
      <c r="G270" s="33"/>
      <c r="H270" s="33"/>
    </row>
    <row r="271" spans="1:8" ht="16.5" customHeight="1" x14ac:dyDescent="0.25">
      <c r="A271" s="17"/>
      <c r="B271" s="18"/>
      <c r="C271" s="27"/>
      <c r="D271" s="32" t="str">
        <f t="shared" ref="D271" si="119">IF(AND(A271&lt;&gt;"",COUNTIF(A234:A733,A271)&gt;1),"⚠️ JÁ PESADO! Peso: "&amp;TEXT(IFERROR(INDEX(B234:B733,MATCH(A271,A234:A733,0)),0),"#,##0.0")&amp;" kg  Lote: "&amp;IFERROR(INDEX(C234:C733,MATCH(A271,A234:A733,0)),"?"),"")</f>
        <v/>
      </c>
      <c r="E271" s="32"/>
      <c r="F271" s="32"/>
      <c r="G271" s="32"/>
      <c r="H271" s="32"/>
    </row>
    <row r="272" spans="1:8" ht="16.5" customHeight="1" x14ac:dyDescent="0.25">
      <c r="A272" s="15"/>
      <c r="B272" s="16"/>
      <c r="C272" s="26"/>
      <c r="D272" s="33" t="str">
        <f t="shared" ref="D272" si="120">IF(AND(A272&lt;&gt;"",COUNTIF(A236:A735,A272)&gt;1),"⚠️ JÁ PESADO! Peso: "&amp;TEXT(IFERROR(INDEX(B236:B735,MATCH(A272,A236:A735,0)),0),"#,##0.0")&amp;" kg  Lote: "&amp;IFERROR(INDEX(C236:C735,MATCH(A272,A236:A735,0)),"?"),"")</f>
        <v/>
      </c>
      <c r="E272" s="33"/>
      <c r="F272" s="33"/>
      <c r="G272" s="33"/>
      <c r="H272" s="33"/>
    </row>
    <row r="273" spans="1:8" ht="16.5" customHeight="1" x14ac:dyDescent="0.25">
      <c r="A273" s="17"/>
      <c r="B273" s="18"/>
      <c r="C273" s="27"/>
      <c r="D273" s="32" t="str">
        <f t="shared" ref="D273" si="121">IF(AND(A273&lt;&gt;"",COUNTIF(A236:A735,A273)&gt;1),"⚠️ JÁ PESADO! Peso: "&amp;TEXT(IFERROR(INDEX(B236:B735,MATCH(A273,A236:A735,0)),0),"#,##0.0")&amp;" kg  Lote: "&amp;IFERROR(INDEX(C236:C735,MATCH(A273,A236:A735,0)),"?"),"")</f>
        <v/>
      </c>
      <c r="E273" s="32"/>
      <c r="F273" s="32"/>
      <c r="G273" s="32"/>
      <c r="H273" s="32"/>
    </row>
    <row r="274" spans="1:8" ht="16.5" customHeight="1" x14ac:dyDescent="0.25">
      <c r="A274" s="15"/>
      <c r="B274" s="16"/>
      <c r="C274" s="26"/>
      <c r="D274" s="33" t="str">
        <f t="shared" ref="D274" si="122">IF(AND(A274&lt;&gt;"",COUNTIF(A238:A737,A274)&gt;1),"⚠️ JÁ PESADO! Peso: "&amp;TEXT(IFERROR(INDEX(B238:B737,MATCH(A274,A238:A737,0)),0),"#,##0.0")&amp;" kg  Lote: "&amp;IFERROR(INDEX(C238:C737,MATCH(A274,A238:A737,0)),"?"),"")</f>
        <v/>
      </c>
      <c r="E274" s="33"/>
      <c r="F274" s="33"/>
      <c r="G274" s="33"/>
      <c r="H274" s="33"/>
    </row>
    <row r="275" spans="1:8" ht="16.5" customHeight="1" x14ac:dyDescent="0.25">
      <c r="A275" s="17"/>
      <c r="B275" s="18"/>
      <c r="C275" s="27"/>
      <c r="D275" s="32" t="str">
        <f t="shared" ref="D275" si="123">IF(AND(A275&lt;&gt;"",COUNTIF(A238:A737,A275)&gt;1),"⚠️ JÁ PESADO! Peso: "&amp;TEXT(IFERROR(INDEX(B238:B737,MATCH(A275,A238:A737,0)),0),"#,##0.0")&amp;" kg  Lote: "&amp;IFERROR(INDEX(C238:C737,MATCH(A275,A238:A737,0)),"?"),"")</f>
        <v/>
      </c>
      <c r="E275" s="32"/>
      <c r="F275" s="32"/>
      <c r="G275" s="32"/>
      <c r="H275" s="32"/>
    </row>
    <row r="276" spans="1:8" ht="16.5" customHeight="1" x14ac:dyDescent="0.25">
      <c r="A276" s="15"/>
      <c r="B276" s="16"/>
      <c r="C276" s="26"/>
      <c r="D276" s="33" t="str">
        <f t="shared" ref="D276" si="124">IF(AND(A276&lt;&gt;"",COUNTIF(A240:A739,A276)&gt;1),"⚠️ JÁ PESADO! Peso: "&amp;TEXT(IFERROR(INDEX(B240:B739,MATCH(A276,A240:A739,0)),0),"#,##0.0")&amp;" kg  Lote: "&amp;IFERROR(INDEX(C240:C739,MATCH(A276,A240:A739,0)),"?"),"")</f>
        <v/>
      </c>
      <c r="E276" s="33"/>
      <c r="F276" s="33"/>
      <c r="G276" s="33"/>
      <c r="H276" s="33"/>
    </row>
    <row r="277" spans="1:8" ht="16.5" customHeight="1" x14ac:dyDescent="0.25">
      <c r="A277" s="17"/>
      <c r="B277" s="18"/>
      <c r="C277" s="27"/>
      <c r="D277" s="32" t="str">
        <f t="shared" ref="D277" si="125">IF(AND(A277&lt;&gt;"",COUNTIF(A240:A739,A277)&gt;1),"⚠️ JÁ PESADO! Peso: "&amp;TEXT(IFERROR(INDEX(B240:B739,MATCH(A277,A240:A739,0)),0),"#,##0.0")&amp;" kg  Lote: "&amp;IFERROR(INDEX(C240:C739,MATCH(A277,A240:A739,0)),"?"),"")</f>
        <v/>
      </c>
      <c r="E277" s="32"/>
      <c r="F277" s="32"/>
      <c r="G277" s="32"/>
      <c r="H277" s="32"/>
    </row>
    <row r="278" spans="1:8" ht="16.5" customHeight="1" x14ac:dyDescent="0.25">
      <c r="A278" s="15"/>
      <c r="B278" s="16"/>
      <c r="C278" s="26"/>
      <c r="D278" s="33" t="str">
        <f t="shared" ref="D278" si="126">IF(AND(A278&lt;&gt;"",COUNTIF(A242:A741,A278)&gt;1),"⚠️ JÁ PESADO! Peso: "&amp;TEXT(IFERROR(INDEX(B242:B741,MATCH(A278,A242:A741,0)),0),"#,##0.0")&amp;" kg  Lote: "&amp;IFERROR(INDEX(C242:C741,MATCH(A278,A242:A741,0)),"?"),"")</f>
        <v/>
      </c>
      <c r="E278" s="33"/>
      <c r="F278" s="33"/>
      <c r="G278" s="33"/>
      <c r="H278" s="33"/>
    </row>
    <row r="279" spans="1:8" ht="16.5" customHeight="1" x14ac:dyDescent="0.25">
      <c r="A279" s="17"/>
      <c r="B279" s="18"/>
      <c r="C279" s="27"/>
      <c r="D279" s="32" t="str">
        <f t="shared" ref="D279" si="127">IF(AND(A279&lt;&gt;"",COUNTIF(A242:A741,A279)&gt;1),"⚠️ JÁ PESADO! Peso: "&amp;TEXT(IFERROR(INDEX(B242:B741,MATCH(A279,A242:A741,0)),0),"#,##0.0")&amp;" kg  Lote: "&amp;IFERROR(INDEX(C242:C741,MATCH(A279,A242:A741,0)),"?"),"")</f>
        <v/>
      </c>
      <c r="E279" s="32"/>
      <c r="F279" s="32"/>
      <c r="G279" s="32"/>
      <c r="H279" s="32"/>
    </row>
    <row r="280" spans="1:8" ht="16.5" customHeight="1" x14ac:dyDescent="0.25">
      <c r="A280" s="15"/>
      <c r="B280" s="16"/>
      <c r="C280" s="26"/>
      <c r="D280" s="33" t="str">
        <f t="shared" ref="D280" si="128">IF(AND(A280&lt;&gt;"",COUNTIF(A244:A743,A280)&gt;1),"⚠️ JÁ PESADO! Peso: "&amp;TEXT(IFERROR(INDEX(B244:B743,MATCH(A280,A244:A743,0)),0),"#,##0.0")&amp;" kg  Lote: "&amp;IFERROR(INDEX(C244:C743,MATCH(A280,A244:A743,0)),"?"),"")</f>
        <v/>
      </c>
      <c r="E280" s="33"/>
      <c r="F280" s="33"/>
      <c r="G280" s="33"/>
      <c r="H280" s="33"/>
    </row>
    <row r="281" spans="1:8" ht="16.5" customHeight="1" x14ac:dyDescent="0.25">
      <c r="A281" s="17"/>
      <c r="B281" s="18"/>
      <c r="C281" s="27"/>
      <c r="D281" s="32" t="str">
        <f t="shared" ref="D281" si="129">IF(AND(A281&lt;&gt;"",COUNTIF(A244:A743,A281)&gt;1),"⚠️ JÁ PESADO! Peso: "&amp;TEXT(IFERROR(INDEX(B244:B743,MATCH(A281,A244:A743,0)),0),"#,##0.0")&amp;" kg  Lote: "&amp;IFERROR(INDEX(C244:C743,MATCH(A281,A244:A743,0)),"?"),"")</f>
        <v/>
      </c>
      <c r="E281" s="32"/>
      <c r="F281" s="32"/>
      <c r="G281" s="32"/>
      <c r="H281" s="32"/>
    </row>
    <row r="282" spans="1:8" ht="16.5" customHeight="1" x14ac:dyDescent="0.25">
      <c r="A282" s="15"/>
      <c r="B282" s="16"/>
      <c r="C282" s="26"/>
      <c r="D282" s="33" t="str">
        <f t="shared" ref="D282" si="130">IF(AND(A282&lt;&gt;"",COUNTIF(A246:A745,A282)&gt;1),"⚠️ JÁ PESADO! Peso: "&amp;TEXT(IFERROR(INDEX(B246:B745,MATCH(A282,A246:A745,0)),0),"#,##0.0")&amp;" kg  Lote: "&amp;IFERROR(INDEX(C246:C745,MATCH(A282,A246:A745,0)),"?"),"")</f>
        <v/>
      </c>
      <c r="E282" s="33"/>
      <c r="F282" s="33"/>
      <c r="G282" s="33"/>
      <c r="H282" s="33"/>
    </row>
    <row r="283" spans="1:8" ht="16.5" customHeight="1" x14ac:dyDescent="0.25">
      <c r="A283" s="17"/>
      <c r="B283" s="18"/>
      <c r="C283" s="27"/>
      <c r="D283" s="32" t="str">
        <f t="shared" ref="D283" si="131">IF(AND(A283&lt;&gt;"",COUNTIF(A246:A745,A283)&gt;1),"⚠️ JÁ PESADO! Peso: "&amp;TEXT(IFERROR(INDEX(B246:B745,MATCH(A283,A246:A745,0)),0),"#,##0.0")&amp;" kg  Lote: "&amp;IFERROR(INDEX(C246:C745,MATCH(A283,A246:A745,0)),"?"),"")</f>
        <v/>
      </c>
      <c r="E283" s="32"/>
      <c r="F283" s="32"/>
      <c r="G283" s="32"/>
      <c r="H283" s="32"/>
    </row>
    <row r="284" spans="1:8" ht="16.5" customHeight="1" x14ac:dyDescent="0.25">
      <c r="A284" s="15"/>
      <c r="B284" s="16"/>
      <c r="C284" s="26"/>
      <c r="D284" s="33" t="str">
        <f t="shared" ref="D284" si="132">IF(AND(A284&lt;&gt;"",COUNTIF(A248:A747,A284)&gt;1),"⚠️ JÁ PESADO! Peso: "&amp;TEXT(IFERROR(INDEX(B248:B747,MATCH(A284,A248:A747,0)),0),"#,##0.0")&amp;" kg  Lote: "&amp;IFERROR(INDEX(C248:C747,MATCH(A284,A248:A747,0)),"?"),"")</f>
        <v/>
      </c>
      <c r="E284" s="33"/>
      <c r="F284" s="33"/>
      <c r="G284" s="33"/>
      <c r="H284" s="33"/>
    </row>
    <row r="285" spans="1:8" ht="16.5" customHeight="1" x14ac:dyDescent="0.25">
      <c r="A285" s="17"/>
      <c r="B285" s="18"/>
      <c r="C285" s="27"/>
      <c r="D285" s="32" t="str">
        <f t="shared" ref="D285" si="133">IF(AND(A285&lt;&gt;"",COUNTIF(A248:A747,A285)&gt;1),"⚠️ JÁ PESADO! Peso: "&amp;TEXT(IFERROR(INDEX(B248:B747,MATCH(A285,A248:A747,0)),0),"#,##0.0")&amp;" kg  Lote: "&amp;IFERROR(INDEX(C248:C747,MATCH(A285,A248:A747,0)),"?"),"")</f>
        <v/>
      </c>
      <c r="E285" s="32"/>
      <c r="F285" s="32"/>
      <c r="G285" s="32"/>
      <c r="H285" s="32"/>
    </row>
    <row r="286" spans="1:8" ht="16.5" customHeight="1" x14ac:dyDescent="0.25">
      <c r="A286" s="15"/>
      <c r="B286" s="16"/>
      <c r="C286" s="26"/>
      <c r="D286" s="33" t="str">
        <f t="shared" ref="D286" si="134">IF(AND(A286&lt;&gt;"",COUNTIF(A250:A749,A286)&gt;1),"⚠️ JÁ PESADO! Peso: "&amp;TEXT(IFERROR(INDEX(B250:B749,MATCH(A286,A250:A749,0)),0),"#,##0.0")&amp;" kg  Lote: "&amp;IFERROR(INDEX(C250:C749,MATCH(A286,A250:A749,0)),"?"),"")</f>
        <v/>
      </c>
      <c r="E286" s="33"/>
      <c r="F286" s="33"/>
      <c r="G286" s="33"/>
      <c r="H286" s="33"/>
    </row>
    <row r="287" spans="1:8" ht="16.5" customHeight="1" x14ac:dyDescent="0.25">
      <c r="A287" s="17"/>
      <c r="B287" s="18"/>
      <c r="C287" s="27"/>
      <c r="D287" s="32" t="str">
        <f t="shared" ref="D287" si="135">IF(AND(A287&lt;&gt;"",COUNTIF(A250:A749,A287)&gt;1),"⚠️ JÁ PESADO! Peso: "&amp;TEXT(IFERROR(INDEX(B250:B749,MATCH(A287,A250:A749,0)),0),"#,##0.0")&amp;" kg  Lote: "&amp;IFERROR(INDEX(C250:C749,MATCH(A287,A250:A749,0)),"?"),"")</f>
        <v/>
      </c>
      <c r="E287" s="32"/>
      <c r="F287" s="32"/>
      <c r="G287" s="32"/>
      <c r="H287" s="32"/>
    </row>
    <row r="288" spans="1:8" ht="16.5" customHeight="1" x14ac:dyDescent="0.25">
      <c r="A288" s="15"/>
      <c r="B288" s="16"/>
      <c r="C288" s="26"/>
      <c r="D288" s="33" t="str">
        <f t="shared" ref="D288" si="136">IF(AND(A288&lt;&gt;"",COUNTIF(A252:A751,A288)&gt;1),"⚠️ JÁ PESADO! Peso: "&amp;TEXT(IFERROR(INDEX(B252:B751,MATCH(A288,A252:A751,0)),0),"#,##0.0")&amp;" kg  Lote: "&amp;IFERROR(INDEX(C252:C751,MATCH(A288,A252:A751,0)),"?"),"")</f>
        <v/>
      </c>
      <c r="E288" s="33"/>
      <c r="F288" s="33"/>
      <c r="G288" s="33"/>
      <c r="H288" s="33"/>
    </row>
    <row r="289" spans="1:8" ht="16.5" customHeight="1" x14ac:dyDescent="0.25">
      <c r="A289" s="17"/>
      <c r="B289" s="18"/>
      <c r="C289" s="27"/>
      <c r="D289" s="32" t="str">
        <f t="shared" ref="D289" si="137">IF(AND(A289&lt;&gt;"",COUNTIF(A252:A751,A289)&gt;1),"⚠️ JÁ PESADO! Peso: "&amp;TEXT(IFERROR(INDEX(B252:B751,MATCH(A289,A252:A751,0)),0),"#,##0.0")&amp;" kg  Lote: "&amp;IFERROR(INDEX(C252:C751,MATCH(A289,A252:A751,0)),"?"),"")</f>
        <v/>
      </c>
      <c r="E289" s="32"/>
      <c r="F289" s="32"/>
      <c r="G289" s="32"/>
      <c r="H289" s="32"/>
    </row>
    <row r="290" spans="1:8" ht="16.5" customHeight="1" x14ac:dyDescent="0.25">
      <c r="A290" s="15"/>
      <c r="B290" s="16"/>
      <c r="C290" s="26"/>
      <c r="D290" s="33" t="str">
        <f t="shared" ref="D290" si="138">IF(AND(A290&lt;&gt;"",COUNTIF(A254:A753,A290)&gt;1),"⚠️ JÁ PESADO! Peso: "&amp;TEXT(IFERROR(INDEX(B254:B753,MATCH(A290,A254:A753,0)),0),"#,##0.0")&amp;" kg  Lote: "&amp;IFERROR(INDEX(C254:C753,MATCH(A290,A254:A753,0)),"?"),"")</f>
        <v/>
      </c>
      <c r="E290" s="33"/>
      <c r="F290" s="33"/>
      <c r="G290" s="33"/>
      <c r="H290" s="33"/>
    </row>
    <row r="291" spans="1:8" ht="16.5" customHeight="1" x14ac:dyDescent="0.25">
      <c r="A291" s="17"/>
      <c r="B291" s="18"/>
      <c r="C291" s="27"/>
      <c r="D291" s="32" t="str">
        <f t="shared" ref="D291" si="139">IF(AND(A291&lt;&gt;"",COUNTIF(A254:A753,A291)&gt;1),"⚠️ JÁ PESADO! Peso: "&amp;TEXT(IFERROR(INDEX(B254:B753,MATCH(A291,A254:A753,0)),0),"#,##0.0")&amp;" kg  Lote: "&amp;IFERROR(INDEX(C254:C753,MATCH(A291,A254:A753,0)),"?"),"")</f>
        <v/>
      </c>
      <c r="E291" s="32"/>
      <c r="F291" s="32"/>
      <c r="G291" s="32"/>
      <c r="H291" s="32"/>
    </row>
    <row r="292" spans="1:8" ht="16.5" customHeight="1" x14ac:dyDescent="0.25">
      <c r="A292" s="15"/>
      <c r="B292" s="16"/>
      <c r="C292" s="26"/>
      <c r="D292" s="33" t="str">
        <f t="shared" ref="D292" si="140">IF(AND(A292&lt;&gt;"",COUNTIF(A256:A755,A292)&gt;1),"⚠️ JÁ PESADO! Peso: "&amp;TEXT(IFERROR(INDEX(B256:B755,MATCH(A292,A256:A755,0)),0),"#,##0.0")&amp;" kg  Lote: "&amp;IFERROR(INDEX(C256:C755,MATCH(A292,A256:A755,0)),"?"),"")</f>
        <v/>
      </c>
      <c r="E292" s="33"/>
      <c r="F292" s="33"/>
      <c r="G292" s="33"/>
      <c r="H292" s="33"/>
    </row>
    <row r="293" spans="1:8" ht="16.5" customHeight="1" x14ac:dyDescent="0.25">
      <c r="A293" s="17"/>
      <c r="B293" s="18"/>
      <c r="C293" s="27"/>
      <c r="D293" s="32" t="str">
        <f t="shared" ref="D293" si="141">IF(AND(A293&lt;&gt;"",COUNTIF(A256:A755,A293)&gt;1),"⚠️ JÁ PESADO! Peso: "&amp;TEXT(IFERROR(INDEX(B256:B755,MATCH(A293,A256:A755,0)),0),"#,##0.0")&amp;" kg  Lote: "&amp;IFERROR(INDEX(C256:C755,MATCH(A293,A256:A755,0)),"?"),"")</f>
        <v/>
      </c>
      <c r="E293" s="32"/>
      <c r="F293" s="32"/>
      <c r="G293" s="32"/>
      <c r="H293" s="32"/>
    </row>
    <row r="294" spans="1:8" ht="16.5" customHeight="1" x14ac:dyDescent="0.25">
      <c r="A294" s="15"/>
      <c r="B294" s="16"/>
      <c r="C294" s="26"/>
      <c r="D294" s="33" t="str">
        <f t="shared" ref="D294" si="142">IF(AND(A294&lt;&gt;"",COUNTIF(A258:A757,A294)&gt;1),"⚠️ JÁ PESADO! Peso: "&amp;TEXT(IFERROR(INDEX(B258:B757,MATCH(A294,A258:A757,0)),0),"#,##0.0")&amp;" kg  Lote: "&amp;IFERROR(INDEX(C258:C757,MATCH(A294,A258:A757,0)),"?"),"")</f>
        <v/>
      </c>
      <c r="E294" s="33"/>
      <c r="F294" s="33"/>
      <c r="G294" s="33"/>
      <c r="H294" s="33"/>
    </row>
    <row r="295" spans="1:8" ht="16.5" customHeight="1" x14ac:dyDescent="0.25">
      <c r="A295" s="17"/>
      <c r="B295" s="18"/>
      <c r="C295" s="27"/>
      <c r="D295" s="32" t="str">
        <f t="shared" ref="D295" si="143">IF(AND(A295&lt;&gt;"",COUNTIF(A258:A757,A295)&gt;1),"⚠️ JÁ PESADO! Peso: "&amp;TEXT(IFERROR(INDEX(B258:B757,MATCH(A295,A258:A757,0)),0),"#,##0.0")&amp;" kg  Lote: "&amp;IFERROR(INDEX(C258:C757,MATCH(A295,A258:A757,0)),"?"),"")</f>
        <v/>
      </c>
      <c r="E295" s="32"/>
      <c r="F295" s="32"/>
      <c r="G295" s="32"/>
      <c r="H295" s="32"/>
    </row>
    <row r="296" spans="1:8" ht="16.5" customHeight="1" x14ac:dyDescent="0.25">
      <c r="A296" s="15"/>
      <c r="B296" s="16"/>
      <c r="C296" s="26"/>
      <c r="D296" s="33" t="str">
        <f t="shared" ref="D296" si="144">IF(AND(A296&lt;&gt;"",COUNTIF(A260:A759,A296)&gt;1),"⚠️ JÁ PESADO! Peso: "&amp;TEXT(IFERROR(INDEX(B260:B759,MATCH(A296,A260:A759,0)),0),"#,##0.0")&amp;" kg  Lote: "&amp;IFERROR(INDEX(C260:C759,MATCH(A296,A260:A759,0)),"?"),"")</f>
        <v/>
      </c>
      <c r="E296" s="33"/>
      <c r="F296" s="33"/>
      <c r="G296" s="33"/>
      <c r="H296" s="33"/>
    </row>
    <row r="297" spans="1:8" ht="16.5" customHeight="1" x14ac:dyDescent="0.25">
      <c r="A297" s="17"/>
      <c r="B297" s="18"/>
      <c r="C297" s="27"/>
      <c r="D297" s="32" t="str">
        <f t="shared" ref="D297" si="145">IF(AND(A297&lt;&gt;"",COUNTIF(A260:A759,A297)&gt;1),"⚠️ JÁ PESADO! Peso: "&amp;TEXT(IFERROR(INDEX(B260:B759,MATCH(A297,A260:A759,0)),0),"#,##0.0")&amp;" kg  Lote: "&amp;IFERROR(INDEX(C260:C759,MATCH(A297,A260:A759,0)),"?"),"")</f>
        <v/>
      </c>
      <c r="E297" s="32"/>
      <c r="F297" s="32"/>
      <c r="G297" s="32"/>
      <c r="H297" s="32"/>
    </row>
    <row r="298" spans="1:8" ht="16.5" customHeight="1" x14ac:dyDescent="0.25">
      <c r="A298" s="15"/>
      <c r="B298" s="16"/>
      <c r="C298" s="26"/>
      <c r="D298" s="33" t="str">
        <f t="shared" ref="D298" si="146">IF(AND(A298&lt;&gt;"",COUNTIF(A262:A761,A298)&gt;1),"⚠️ JÁ PESADO! Peso: "&amp;TEXT(IFERROR(INDEX(B262:B761,MATCH(A298,A262:A761,0)),0),"#,##0.0")&amp;" kg  Lote: "&amp;IFERROR(INDEX(C262:C761,MATCH(A298,A262:A761,0)),"?"),"")</f>
        <v/>
      </c>
      <c r="E298" s="33"/>
      <c r="F298" s="33"/>
      <c r="G298" s="33"/>
      <c r="H298" s="33"/>
    </row>
    <row r="299" spans="1:8" ht="16.5" customHeight="1" x14ac:dyDescent="0.25">
      <c r="A299" s="17"/>
      <c r="B299" s="18"/>
      <c r="C299" s="27"/>
      <c r="D299" s="32" t="str">
        <f t="shared" ref="D299" si="147">IF(AND(A299&lt;&gt;"",COUNTIF(A262:A761,A299)&gt;1),"⚠️ JÁ PESADO! Peso: "&amp;TEXT(IFERROR(INDEX(B262:B761,MATCH(A299,A262:A761,0)),0),"#,##0.0")&amp;" kg  Lote: "&amp;IFERROR(INDEX(C262:C761,MATCH(A299,A262:A761,0)),"?"),"")</f>
        <v/>
      </c>
      <c r="E299" s="32"/>
      <c r="F299" s="32"/>
      <c r="G299" s="32"/>
      <c r="H299" s="32"/>
    </row>
    <row r="300" spans="1:8" ht="16.5" customHeight="1" x14ac:dyDescent="0.25">
      <c r="A300" s="15"/>
      <c r="B300" s="16"/>
      <c r="C300" s="26"/>
      <c r="D300" s="33" t="str">
        <f t="shared" ref="D300" si="148">IF(AND(A300&lt;&gt;"",COUNTIF(A264:A763,A300)&gt;1),"⚠️ JÁ PESADO! Peso: "&amp;TEXT(IFERROR(INDEX(B264:B763,MATCH(A300,A264:A763,0)),0),"#,##0.0")&amp;" kg  Lote: "&amp;IFERROR(INDEX(C264:C763,MATCH(A300,A264:A763,0)),"?"),"")</f>
        <v/>
      </c>
      <c r="E300" s="33"/>
      <c r="F300" s="33"/>
      <c r="G300" s="33"/>
      <c r="H300" s="33"/>
    </row>
    <row r="301" spans="1:8" ht="16.5" customHeight="1" x14ac:dyDescent="0.25">
      <c r="A301" s="17"/>
      <c r="B301" s="18"/>
      <c r="C301" s="27"/>
      <c r="D301" s="32" t="str">
        <f t="shared" ref="D301" si="149">IF(AND(A301&lt;&gt;"",COUNTIF(A264:A763,A301)&gt;1),"⚠️ JÁ PESADO! Peso: "&amp;TEXT(IFERROR(INDEX(B264:B763,MATCH(A301,A264:A763,0)),0),"#,##0.0")&amp;" kg  Lote: "&amp;IFERROR(INDEX(C264:C763,MATCH(A301,A264:A763,0)),"?"),"")</f>
        <v/>
      </c>
      <c r="E301" s="32"/>
      <c r="F301" s="32"/>
      <c r="G301" s="32"/>
      <c r="H301" s="32"/>
    </row>
    <row r="302" spans="1:8" ht="16.5" customHeight="1" x14ac:dyDescent="0.25">
      <c r="A302" s="15"/>
      <c r="B302" s="16"/>
      <c r="C302" s="26"/>
      <c r="D302" s="33" t="str">
        <f t="shared" ref="D302" si="150">IF(AND(A302&lt;&gt;"",COUNTIF(A266:A765,A302)&gt;1),"⚠️ JÁ PESADO! Peso: "&amp;TEXT(IFERROR(INDEX(B266:B765,MATCH(A302,A266:A765,0)),0),"#,##0.0")&amp;" kg  Lote: "&amp;IFERROR(INDEX(C266:C765,MATCH(A302,A266:A765,0)),"?"),"")</f>
        <v/>
      </c>
      <c r="E302" s="33"/>
      <c r="F302" s="33"/>
      <c r="G302" s="33"/>
      <c r="H302" s="33"/>
    </row>
    <row r="303" spans="1:8" ht="16.5" customHeight="1" x14ac:dyDescent="0.25">
      <c r="A303" s="17"/>
      <c r="B303" s="18"/>
      <c r="C303" s="27"/>
      <c r="D303" s="32" t="str">
        <f t="shared" ref="D303" si="151">IF(AND(A303&lt;&gt;"",COUNTIF(A266:A765,A303)&gt;1),"⚠️ JÁ PESADO! Peso: "&amp;TEXT(IFERROR(INDEX(B266:B765,MATCH(A303,A266:A765,0)),0),"#,##0.0")&amp;" kg  Lote: "&amp;IFERROR(INDEX(C266:C765,MATCH(A303,A266:A765,0)),"?"),"")</f>
        <v/>
      </c>
      <c r="E303" s="32"/>
      <c r="F303" s="32"/>
      <c r="G303" s="32"/>
      <c r="H303" s="32"/>
    </row>
    <row r="304" spans="1:8" ht="16.5" customHeight="1" x14ac:dyDescent="0.25">
      <c r="A304" s="15"/>
      <c r="B304" s="16"/>
      <c r="C304" s="26"/>
      <c r="D304" s="33" t="str">
        <f t="shared" ref="D304" si="152">IF(AND(A304&lt;&gt;"",COUNTIF(A268:A767,A304)&gt;1),"⚠️ JÁ PESADO! Peso: "&amp;TEXT(IFERROR(INDEX(B268:B767,MATCH(A304,A268:A767,0)),0),"#,##0.0")&amp;" kg  Lote: "&amp;IFERROR(INDEX(C268:C767,MATCH(A304,A268:A767,0)),"?"),"")</f>
        <v/>
      </c>
      <c r="E304" s="33"/>
      <c r="F304" s="33"/>
      <c r="G304" s="33"/>
      <c r="H304" s="33"/>
    </row>
    <row r="305" spans="1:8" ht="16.5" customHeight="1" x14ac:dyDescent="0.25">
      <c r="A305" s="17"/>
      <c r="B305" s="18"/>
      <c r="C305" s="27"/>
      <c r="D305" s="32" t="str">
        <f t="shared" ref="D305" si="153">IF(AND(A305&lt;&gt;"",COUNTIF(A268:A767,A305)&gt;1),"⚠️ JÁ PESADO! Peso: "&amp;TEXT(IFERROR(INDEX(B268:B767,MATCH(A305,A268:A767,0)),0),"#,##0.0")&amp;" kg  Lote: "&amp;IFERROR(INDEX(C268:C767,MATCH(A305,A268:A767,0)),"?"),"")</f>
        <v/>
      </c>
      <c r="E305" s="32"/>
      <c r="F305" s="32"/>
      <c r="G305" s="32"/>
      <c r="H305" s="32"/>
    </row>
    <row r="306" spans="1:8" ht="16.5" customHeight="1" x14ac:dyDescent="0.25">
      <c r="A306" s="15"/>
      <c r="B306" s="16"/>
      <c r="C306" s="26"/>
      <c r="D306" s="33" t="str">
        <f t="shared" ref="D306" si="154">IF(AND(A306&lt;&gt;"",COUNTIF(A270:A769,A306)&gt;1),"⚠️ JÁ PESADO! Peso: "&amp;TEXT(IFERROR(INDEX(B270:B769,MATCH(A306,A270:A769,0)),0),"#,##0.0")&amp;" kg  Lote: "&amp;IFERROR(INDEX(C270:C769,MATCH(A306,A270:A769,0)),"?"),"")</f>
        <v/>
      </c>
      <c r="E306" s="33"/>
      <c r="F306" s="33"/>
      <c r="G306" s="33"/>
      <c r="H306" s="33"/>
    </row>
    <row r="307" spans="1:8" ht="16.5" customHeight="1" x14ac:dyDescent="0.25">
      <c r="A307" s="17"/>
      <c r="B307" s="18"/>
      <c r="C307" s="27"/>
      <c r="D307" s="32" t="str">
        <f t="shared" ref="D307" si="155">IF(AND(A307&lt;&gt;"",COUNTIF(A270:A769,A307)&gt;1),"⚠️ JÁ PESADO! Peso: "&amp;TEXT(IFERROR(INDEX(B270:B769,MATCH(A307,A270:A769,0)),0),"#,##0.0")&amp;" kg  Lote: "&amp;IFERROR(INDEX(C270:C769,MATCH(A307,A270:A769,0)),"?"),"")</f>
        <v/>
      </c>
      <c r="E307" s="32"/>
      <c r="F307" s="32"/>
      <c r="G307" s="32"/>
      <c r="H307" s="32"/>
    </row>
    <row r="308" spans="1:8" ht="16.5" customHeight="1" x14ac:dyDescent="0.25">
      <c r="A308" s="15"/>
      <c r="B308" s="16"/>
      <c r="C308" s="26"/>
      <c r="D308" s="33" t="str">
        <f t="shared" ref="D308" si="156">IF(AND(A308&lt;&gt;"",COUNTIF(A272:A771,A308)&gt;1),"⚠️ JÁ PESADO! Peso: "&amp;TEXT(IFERROR(INDEX(B272:B771,MATCH(A308,A272:A771,0)),0),"#,##0.0")&amp;" kg  Lote: "&amp;IFERROR(INDEX(C272:C771,MATCH(A308,A272:A771,0)),"?"),"")</f>
        <v/>
      </c>
      <c r="E308" s="33"/>
      <c r="F308" s="33"/>
      <c r="G308" s="33"/>
      <c r="H308" s="33"/>
    </row>
    <row r="309" spans="1:8" ht="16.5" customHeight="1" x14ac:dyDescent="0.25">
      <c r="A309" s="17"/>
      <c r="B309" s="18"/>
      <c r="C309" s="27"/>
      <c r="D309" s="32" t="str">
        <f t="shared" ref="D309" si="157">IF(AND(A309&lt;&gt;"",COUNTIF(A272:A771,A309)&gt;1),"⚠️ JÁ PESADO! Peso: "&amp;TEXT(IFERROR(INDEX(B272:B771,MATCH(A309,A272:A771,0)),0),"#,##0.0")&amp;" kg  Lote: "&amp;IFERROR(INDEX(C272:C771,MATCH(A309,A272:A771,0)),"?"),"")</f>
        <v/>
      </c>
      <c r="E309" s="32"/>
      <c r="F309" s="32"/>
      <c r="G309" s="32"/>
      <c r="H309" s="32"/>
    </row>
    <row r="310" spans="1:8" ht="16.5" customHeight="1" x14ac:dyDescent="0.25">
      <c r="A310" s="15"/>
      <c r="B310" s="16"/>
      <c r="C310" s="26"/>
      <c r="D310" s="33" t="str">
        <f t="shared" ref="D310" si="158">IF(AND(A310&lt;&gt;"",COUNTIF(A274:A773,A310)&gt;1),"⚠️ JÁ PESADO! Peso: "&amp;TEXT(IFERROR(INDEX(B274:B773,MATCH(A310,A274:A773,0)),0),"#,##0.0")&amp;" kg  Lote: "&amp;IFERROR(INDEX(C274:C773,MATCH(A310,A274:A773,0)),"?"),"")</f>
        <v/>
      </c>
      <c r="E310" s="33"/>
      <c r="F310" s="33"/>
      <c r="G310" s="33"/>
      <c r="H310" s="33"/>
    </row>
    <row r="311" spans="1:8" ht="16.5" customHeight="1" x14ac:dyDescent="0.25">
      <c r="A311" s="17"/>
      <c r="B311" s="18"/>
      <c r="C311" s="27"/>
      <c r="D311" s="32" t="str">
        <f t="shared" ref="D311" si="159">IF(AND(A311&lt;&gt;"",COUNTIF(A274:A773,A311)&gt;1),"⚠️ JÁ PESADO! Peso: "&amp;TEXT(IFERROR(INDEX(B274:B773,MATCH(A311,A274:A773,0)),0),"#,##0.0")&amp;" kg  Lote: "&amp;IFERROR(INDEX(C274:C773,MATCH(A311,A274:A773,0)),"?"),"")</f>
        <v/>
      </c>
      <c r="E311" s="32"/>
      <c r="F311" s="32"/>
      <c r="G311" s="32"/>
      <c r="H311" s="32"/>
    </row>
    <row r="312" spans="1:8" ht="16.5" customHeight="1" x14ac:dyDescent="0.25">
      <c r="A312" s="15"/>
      <c r="B312" s="16"/>
      <c r="C312" s="26"/>
      <c r="D312" s="33" t="str">
        <f t="shared" ref="D312" si="160">IF(AND(A312&lt;&gt;"",COUNTIF(A276:A775,A312)&gt;1),"⚠️ JÁ PESADO! Peso: "&amp;TEXT(IFERROR(INDEX(B276:B775,MATCH(A312,A276:A775,0)),0),"#,##0.0")&amp;" kg  Lote: "&amp;IFERROR(INDEX(C276:C775,MATCH(A312,A276:A775,0)),"?"),"")</f>
        <v/>
      </c>
      <c r="E312" s="33"/>
      <c r="F312" s="33"/>
      <c r="G312" s="33"/>
      <c r="H312" s="33"/>
    </row>
    <row r="313" spans="1:8" ht="16.5" customHeight="1" x14ac:dyDescent="0.25">
      <c r="A313" s="17"/>
      <c r="B313" s="18"/>
      <c r="C313" s="27"/>
      <c r="D313" s="32" t="str">
        <f t="shared" ref="D313" si="161">IF(AND(A313&lt;&gt;"",COUNTIF(A276:A775,A313)&gt;1),"⚠️ JÁ PESADO! Peso: "&amp;TEXT(IFERROR(INDEX(B276:B775,MATCH(A313,A276:A775,0)),0),"#,##0.0")&amp;" kg  Lote: "&amp;IFERROR(INDEX(C276:C775,MATCH(A313,A276:A775,0)),"?"),"")</f>
        <v/>
      </c>
      <c r="E313" s="32"/>
      <c r="F313" s="32"/>
      <c r="G313" s="32"/>
      <c r="H313" s="32"/>
    </row>
    <row r="314" spans="1:8" ht="16.5" customHeight="1" x14ac:dyDescent="0.25">
      <c r="A314" s="15"/>
      <c r="B314" s="16"/>
      <c r="C314" s="26"/>
      <c r="D314" s="33" t="str">
        <f t="shared" ref="D314" si="162">IF(AND(A314&lt;&gt;"",COUNTIF(A278:A777,A314)&gt;1),"⚠️ JÁ PESADO! Peso: "&amp;TEXT(IFERROR(INDEX(B278:B777,MATCH(A314,A278:A777,0)),0),"#,##0.0")&amp;" kg  Lote: "&amp;IFERROR(INDEX(C278:C777,MATCH(A314,A278:A777,0)),"?"),"")</f>
        <v/>
      </c>
      <c r="E314" s="33"/>
      <c r="F314" s="33"/>
      <c r="G314" s="33"/>
      <c r="H314" s="33"/>
    </row>
    <row r="315" spans="1:8" ht="16.5" customHeight="1" x14ac:dyDescent="0.25">
      <c r="A315" s="17"/>
      <c r="B315" s="18"/>
      <c r="C315" s="27"/>
      <c r="D315" s="32" t="str">
        <f t="shared" ref="D315" si="163">IF(AND(A315&lt;&gt;"",COUNTIF(A278:A777,A315)&gt;1),"⚠️ JÁ PESADO! Peso: "&amp;TEXT(IFERROR(INDEX(B278:B777,MATCH(A315,A278:A777,0)),0),"#,##0.0")&amp;" kg  Lote: "&amp;IFERROR(INDEX(C278:C777,MATCH(A315,A278:A777,0)),"?"),"")</f>
        <v/>
      </c>
      <c r="E315" s="32"/>
      <c r="F315" s="32"/>
      <c r="G315" s="32"/>
      <c r="H315" s="32"/>
    </row>
    <row r="316" spans="1:8" ht="16.5" customHeight="1" x14ac:dyDescent="0.25">
      <c r="A316" s="15"/>
      <c r="B316" s="16"/>
      <c r="C316" s="26"/>
      <c r="D316" s="33" t="str">
        <f t="shared" ref="D316" si="164">IF(AND(A316&lt;&gt;"",COUNTIF(A280:A779,A316)&gt;1),"⚠️ JÁ PESADO! Peso: "&amp;TEXT(IFERROR(INDEX(B280:B779,MATCH(A316,A280:A779,0)),0),"#,##0.0")&amp;" kg  Lote: "&amp;IFERROR(INDEX(C280:C779,MATCH(A316,A280:A779,0)),"?"),"")</f>
        <v/>
      </c>
      <c r="E316" s="33"/>
      <c r="F316" s="33"/>
      <c r="G316" s="33"/>
      <c r="H316" s="33"/>
    </row>
    <row r="317" spans="1:8" ht="16.5" customHeight="1" x14ac:dyDescent="0.25">
      <c r="A317" s="17"/>
      <c r="B317" s="18"/>
      <c r="C317" s="27"/>
      <c r="D317" s="32" t="str">
        <f t="shared" ref="D317" si="165">IF(AND(A317&lt;&gt;"",COUNTIF(A280:A779,A317)&gt;1),"⚠️ JÁ PESADO! Peso: "&amp;TEXT(IFERROR(INDEX(B280:B779,MATCH(A317,A280:A779,0)),0),"#,##0.0")&amp;" kg  Lote: "&amp;IFERROR(INDEX(C280:C779,MATCH(A317,A280:A779,0)),"?"),"")</f>
        <v/>
      </c>
      <c r="E317" s="32"/>
      <c r="F317" s="32"/>
      <c r="G317" s="32"/>
      <c r="H317" s="32"/>
    </row>
    <row r="318" spans="1:8" ht="16.5" customHeight="1" x14ac:dyDescent="0.25">
      <c r="A318" s="15"/>
      <c r="B318" s="16"/>
      <c r="C318" s="26"/>
      <c r="D318" s="33" t="str">
        <f t="shared" ref="D318" si="166">IF(AND(A318&lt;&gt;"",COUNTIF(A282:A781,A318)&gt;1),"⚠️ JÁ PESADO! Peso: "&amp;TEXT(IFERROR(INDEX(B282:B781,MATCH(A318,A282:A781,0)),0),"#,##0.0")&amp;" kg  Lote: "&amp;IFERROR(INDEX(C282:C781,MATCH(A318,A282:A781,0)),"?"),"")</f>
        <v/>
      </c>
      <c r="E318" s="33"/>
      <c r="F318" s="33"/>
      <c r="G318" s="33"/>
      <c r="H318" s="33"/>
    </row>
    <row r="319" spans="1:8" ht="16.5" customHeight="1" x14ac:dyDescent="0.25">
      <c r="A319" s="17"/>
      <c r="B319" s="18"/>
      <c r="C319" s="27"/>
      <c r="D319" s="32" t="str">
        <f t="shared" ref="D319" si="167">IF(AND(A319&lt;&gt;"",COUNTIF(A282:A781,A319)&gt;1),"⚠️ JÁ PESADO! Peso: "&amp;TEXT(IFERROR(INDEX(B282:B781,MATCH(A319,A282:A781,0)),0),"#,##0.0")&amp;" kg  Lote: "&amp;IFERROR(INDEX(C282:C781,MATCH(A319,A282:A781,0)),"?"),"")</f>
        <v/>
      </c>
      <c r="E319" s="32"/>
      <c r="F319" s="32"/>
      <c r="G319" s="32"/>
      <c r="H319" s="32"/>
    </row>
    <row r="320" spans="1:8" ht="16.5" customHeight="1" x14ac:dyDescent="0.25">
      <c r="A320" s="15"/>
      <c r="B320" s="16"/>
      <c r="C320" s="26"/>
      <c r="D320" s="33" t="str">
        <f t="shared" ref="D320" si="168">IF(AND(A320&lt;&gt;"",COUNTIF(A284:A783,A320)&gt;1),"⚠️ JÁ PESADO! Peso: "&amp;TEXT(IFERROR(INDEX(B284:B783,MATCH(A320,A284:A783,0)),0),"#,##0.0")&amp;" kg  Lote: "&amp;IFERROR(INDEX(C284:C783,MATCH(A320,A284:A783,0)),"?"),"")</f>
        <v/>
      </c>
      <c r="E320" s="33"/>
      <c r="F320" s="33"/>
      <c r="G320" s="33"/>
      <c r="H320" s="33"/>
    </row>
    <row r="321" spans="1:8" ht="16.5" customHeight="1" x14ac:dyDescent="0.25">
      <c r="A321" s="17"/>
      <c r="B321" s="18"/>
      <c r="C321" s="27"/>
      <c r="D321" s="32" t="str">
        <f t="shared" ref="D321" si="169">IF(AND(A321&lt;&gt;"",COUNTIF(A284:A783,A321)&gt;1),"⚠️ JÁ PESADO! Peso: "&amp;TEXT(IFERROR(INDEX(B284:B783,MATCH(A321,A284:A783,0)),0),"#,##0.0")&amp;" kg  Lote: "&amp;IFERROR(INDEX(C284:C783,MATCH(A321,A284:A783,0)),"?"),"")</f>
        <v/>
      </c>
      <c r="E321" s="32"/>
      <c r="F321" s="32"/>
      <c r="G321" s="32"/>
      <c r="H321" s="32"/>
    </row>
    <row r="322" spans="1:8" ht="16.5" customHeight="1" x14ac:dyDescent="0.25">
      <c r="A322" s="15"/>
      <c r="B322" s="16"/>
      <c r="C322" s="26"/>
      <c r="D322" s="33" t="str">
        <f t="shared" ref="D322" si="170">IF(AND(A322&lt;&gt;"",COUNTIF(A286:A785,A322)&gt;1),"⚠️ JÁ PESADO! Peso: "&amp;TEXT(IFERROR(INDEX(B286:B785,MATCH(A322,A286:A785,0)),0),"#,##0.0")&amp;" kg  Lote: "&amp;IFERROR(INDEX(C286:C785,MATCH(A322,A286:A785,0)),"?"),"")</f>
        <v/>
      </c>
      <c r="E322" s="33"/>
      <c r="F322" s="33"/>
      <c r="G322" s="33"/>
      <c r="H322" s="33"/>
    </row>
    <row r="323" spans="1:8" ht="16.5" customHeight="1" x14ac:dyDescent="0.25">
      <c r="A323" s="17"/>
      <c r="B323" s="18"/>
      <c r="C323" s="27"/>
      <c r="D323" s="32" t="str">
        <f t="shared" ref="D323" si="171">IF(AND(A323&lt;&gt;"",COUNTIF(A286:A785,A323)&gt;1),"⚠️ JÁ PESADO! Peso: "&amp;TEXT(IFERROR(INDEX(B286:B785,MATCH(A323,A286:A785,0)),0),"#,##0.0")&amp;" kg  Lote: "&amp;IFERROR(INDEX(C286:C785,MATCH(A323,A286:A785,0)),"?"),"")</f>
        <v/>
      </c>
      <c r="E323" s="32"/>
      <c r="F323" s="32"/>
      <c r="G323" s="32"/>
      <c r="H323" s="32"/>
    </row>
    <row r="324" spans="1:8" ht="16.5" customHeight="1" x14ac:dyDescent="0.25">
      <c r="A324" s="15"/>
      <c r="B324" s="16"/>
      <c r="C324" s="26"/>
      <c r="D324" s="33" t="str">
        <f t="shared" ref="D324" si="172">IF(AND(A324&lt;&gt;"",COUNTIF(A288:A787,A324)&gt;1),"⚠️ JÁ PESADO! Peso: "&amp;TEXT(IFERROR(INDEX(B288:B787,MATCH(A324,A288:A787,0)),0),"#,##0.0")&amp;" kg  Lote: "&amp;IFERROR(INDEX(C288:C787,MATCH(A324,A288:A787,0)),"?"),"")</f>
        <v/>
      </c>
      <c r="E324" s="33"/>
      <c r="F324" s="33"/>
      <c r="G324" s="33"/>
      <c r="H324" s="33"/>
    </row>
    <row r="325" spans="1:8" ht="16.5" customHeight="1" x14ac:dyDescent="0.25">
      <c r="A325" s="17"/>
      <c r="B325" s="18"/>
      <c r="C325" s="27"/>
      <c r="D325" s="32" t="str">
        <f t="shared" ref="D325" si="173">IF(AND(A325&lt;&gt;"",COUNTIF(A288:A787,A325)&gt;1),"⚠️ JÁ PESADO! Peso: "&amp;TEXT(IFERROR(INDEX(B288:B787,MATCH(A325,A288:A787,0)),0),"#,##0.0")&amp;" kg  Lote: "&amp;IFERROR(INDEX(C288:C787,MATCH(A325,A288:A787,0)),"?"),"")</f>
        <v/>
      </c>
      <c r="E325" s="32"/>
      <c r="F325" s="32"/>
      <c r="G325" s="32"/>
      <c r="H325" s="32"/>
    </row>
    <row r="326" spans="1:8" ht="16.5" customHeight="1" x14ac:dyDescent="0.25">
      <c r="A326" s="15"/>
      <c r="B326" s="16"/>
      <c r="C326" s="26"/>
      <c r="D326" s="33" t="str">
        <f t="shared" ref="D326" si="174">IF(AND(A326&lt;&gt;"",COUNTIF(A290:A789,A326)&gt;1),"⚠️ JÁ PESADO! Peso: "&amp;TEXT(IFERROR(INDEX(B290:B789,MATCH(A326,A290:A789,0)),0),"#,##0.0")&amp;" kg  Lote: "&amp;IFERROR(INDEX(C290:C789,MATCH(A326,A290:A789,0)),"?"),"")</f>
        <v/>
      </c>
      <c r="E326" s="33"/>
      <c r="F326" s="33"/>
      <c r="G326" s="33"/>
      <c r="H326" s="33"/>
    </row>
    <row r="327" spans="1:8" ht="16.5" customHeight="1" x14ac:dyDescent="0.25">
      <c r="A327" s="17"/>
      <c r="B327" s="18"/>
      <c r="C327" s="27"/>
      <c r="D327" s="32" t="str">
        <f t="shared" ref="D327" si="175">IF(AND(A327&lt;&gt;"",COUNTIF(A290:A789,A327)&gt;1),"⚠️ JÁ PESADO! Peso: "&amp;TEXT(IFERROR(INDEX(B290:B789,MATCH(A327,A290:A789,0)),0),"#,##0.0")&amp;" kg  Lote: "&amp;IFERROR(INDEX(C290:C789,MATCH(A327,A290:A789,0)),"?"),"")</f>
        <v/>
      </c>
      <c r="E327" s="32"/>
      <c r="F327" s="32"/>
      <c r="G327" s="32"/>
      <c r="H327" s="32"/>
    </row>
    <row r="328" spans="1:8" ht="16.5" customHeight="1" x14ac:dyDescent="0.25">
      <c r="A328" s="15"/>
      <c r="B328" s="16"/>
      <c r="C328" s="26"/>
      <c r="D328" s="33" t="str">
        <f t="shared" ref="D328" si="176">IF(AND(A328&lt;&gt;"",COUNTIF(A292:A791,A328)&gt;1),"⚠️ JÁ PESADO! Peso: "&amp;TEXT(IFERROR(INDEX(B292:B791,MATCH(A328,A292:A791,0)),0),"#,##0.0")&amp;" kg  Lote: "&amp;IFERROR(INDEX(C292:C791,MATCH(A328,A292:A791,0)),"?"),"")</f>
        <v/>
      </c>
      <c r="E328" s="33"/>
      <c r="F328" s="33"/>
      <c r="G328" s="33"/>
      <c r="H328" s="33"/>
    </row>
    <row r="329" spans="1:8" ht="16.5" customHeight="1" x14ac:dyDescent="0.25">
      <c r="A329" s="17"/>
      <c r="B329" s="18"/>
      <c r="C329" s="27"/>
      <c r="D329" s="32" t="str">
        <f t="shared" ref="D329" si="177">IF(AND(A329&lt;&gt;"",COUNTIF(A292:A791,A329)&gt;1),"⚠️ JÁ PESADO! Peso: "&amp;TEXT(IFERROR(INDEX(B292:B791,MATCH(A329,A292:A791,0)),0),"#,##0.0")&amp;" kg  Lote: "&amp;IFERROR(INDEX(C292:C791,MATCH(A329,A292:A791,0)),"?"),"")</f>
        <v/>
      </c>
      <c r="E329" s="32"/>
      <c r="F329" s="32"/>
      <c r="G329" s="32"/>
      <c r="H329" s="32"/>
    </row>
    <row r="330" spans="1:8" ht="16.5" customHeight="1" x14ac:dyDescent="0.25">
      <c r="A330" s="15"/>
      <c r="B330" s="16"/>
      <c r="C330" s="26"/>
      <c r="D330" s="33" t="str">
        <f t="shared" ref="D330" si="178">IF(AND(A330&lt;&gt;"",COUNTIF(A294:A793,A330)&gt;1),"⚠️ JÁ PESADO! Peso: "&amp;TEXT(IFERROR(INDEX(B294:B793,MATCH(A330,A294:A793,0)),0),"#,##0.0")&amp;" kg  Lote: "&amp;IFERROR(INDEX(C294:C793,MATCH(A330,A294:A793,0)),"?"),"")</f>
        <v/>
      </c>
      <c r="E330" s="33"/>
      <c r="F330" s="33"/>
      <c r="G330" s="33"/>
      <c r="H330" s="33"/>
    </row>
    <row r="331" spans="1:8" ht="16.5" customHeight="1" x14ac:dyDescent="0.25">
      <c r="A331" s="17"/>
      <c r="B331" s="18"/>
      <c r="C331" s="27"/>
      <c r="D331" s="32" t="str">
        <f t="shared" ref="D331" si="179">IF(AND(A331&lt;&gt;"",COUNTIF(A294:A793,A331)&gt;1),"⚠️ JÁ PESADO! Peso: "&amp;TEXT(IFERROR(INDEX(B294:B793,MATCH(A331,A294:A793,0)),0),"#,##0.0")&amp;" kg  Lote: "&amp;IFERROR(INDEX(C294:C793,MATCH(A331,A294:A793,0)),"?"),"")</f>
        <v/>
      </c>
      <c r="E331" s="32"/>
      <c r="F331" s="32"/>
      <c r="G331" s="32"/>
      <c r="H331" s="32"/>
    </row>
    <row r="332" spans="1:8" ht="16.5" customHeight="1" x14ac:dyDescent="0.25">
      <c r="A332" s="15"/>
      <c r="B332" s="16"/>
      <c r="C332" s="26"/>
      <c r="D332" s="33" t="str">
        <f t="shared" ref="D332" si="180">IF(AND(A332&lt;&gt;"",COUNTIF(A296:A795,A332)&gt;1),"⚠️ JÁ PESADO! Peso: "&amp;TEXT(IFERROR(INDEX(B296:B795,MATCH(A332,A296:A795,0)),0),"#,##0.0")&amp;" kg  Lote: "&amp;IFERROR(INDEX(C296:C795,MATCH(A332,A296:A795,0)),"?"),"")</f>
        <v/>
      </c>
      <c r="E332" s="33"/>
      <c r="F332" s="33"/>
      <c r="G332" s="33"/>
      <c r="H332" s="33"/>
    </row>
    <row r="333" spans="1:8" ht="16.5" customHeight="1" x14ac:dyDescent="0.25">
      <c r="A333" s="17"/>
      <c r="B333" s="18"/>
      <c r="C333" s="27"/>
      <c r="D333" s="32" t="str">
        <f t="shared" ref="D333" si="181">IF(AND(A333&lt;&gt;"",COUNTIF(A296:A795,A333)&gt;1),"⚠️ JÁ PESADO! Peso: "&amp;TEXT(IFERROR(INDEX(B296:B795,MATCH(A333,A296:A795,0)),0),"#,##0.0")&amp;" kg  Lote: "&amp;IFERROR(INDEX(C296:C795,MATCH(A333,A296:A795,0)),"?"),"")</f>
        <v/>
      </c>
      <c r="E333" s="32"/>
      <c r="F333" s="32"/>
      <c r="G333" s="32"/>
      <c r="H333" s="32"/>
    </row>
    <row r="334" spans="1:8" ht="16.5" customHeight="1" x14ac:dyDescent="0.25">
      <c r="A334" s="15"/>
      <c r="B334" s="16"/>
      <c r="C334" s="26"/>
      <c r="D334" s="33" t="str">
        <f t="shared" ref="D334" si="182">IF(AND(A334&lt;&gt;"",COUNTIF(A298:A797,A334)&gt;1),"⚠️ JÁ PESADO! Peso: "&amp;TEXT(IFERROR(INDEX(B298:B797,MATCH(A334,A298:A797,0)),0),"#,##0.0")&amp;" kg  Lote: "&amp;IFERROR(INDEX(C298:C797,MATCH(A334,A298:A797,0)),"?"),"")</f>
        <v/>
      </c>
      <c r="E334" s="33"/>
      <c r="F334" s="33"/>
      <c r="G334" s="33"/>
      <c r="H334" s="33"/>
    </row>
    <row r="335" spans="1:8" ht="16.5" customHeight="1" x14ac:dyDescent="0.25">
      <c r="A335" s="17"/>
      <c r="B335" s="18"/>
      <c r="C335" s="27"/>
      <c r="D335" s="32" t="str">
        <f t="shared" ref="D335" si="183">IF(AND(A335&lt;&gt;"",COUNTIF(A298:A797,A335)&gt;1),"⚠️ JÁ PESADO! Peso: "&amp;TEXT(IFERROR(INDEX(B298:B797,MATCH(A335,A298:A797,0)),0),"#,##0.0")&amp;" kg  Lote: "&amp;IFERROR(INDEX(C298:C797,MATCH(A335,A298:A797,0)),"?"),"")</f>
        <v/>
      </c>
      <c r="E335" s="32"/>
      <c r="F335" s="32"/>
      <c r="G335" s="32"/>
      <c r="H335" s="32"/>
    </row>
    <row r="336" spans="1:8" ht="16.5" customHeight="1" x14ac:dyDescent="0.25">
      <c r="A336" s="15"/>
      <c r="B336" s="16"/>
      <c r="C336" s="26"/>
      <c r="D336" s="33" t="str">
        <f t="shared" ref="D336" si="184">IF(AND(A336&lt;&gt;"",COUNTIF(A300:A799,A336)&gt;1),"⚠️ JÁ PESADO! Peso: "&amp;TEXT(IFERROR(INDEX(B300:B799,MATCH(A336,A300:A799,0)),0),"#,##0.0")&amp;" kg  Lote: "&amp;IFERROR(INDEX(C300:C799,MATCH(A336,A300:A799,0)),"?"),"")</f>
        <v/>
      </c>
      <c r="E336" s="33"/>
      <c r="F336" s="33"/>
      <c r="G336" s="33"/>
      <c r="H336" s="33"/>
    </row>
    <row r="337" spans="1:8" ht="16.5" customHeight="1" x14ac:dyDescent="0.25">
      <c r="A337" s="17"/>
      <c r="B337" s="18"/>
      <c r="C337" s="27"/>
      <c r="D337" s="32" t="str">
        <f t="shared" ref="D337" si="185">IF(AND(A337&lt;&gt;"",COUNTIF(A300:A799,A337)&gt;1),"⚠️ JÁ PESADO! Peso: "&amp;TEXT(IFERROR(INDEX(B300:B799,MATCH(A337,A300:A799,0)),0),"#,##0.0")&amp;" kg  Lote: "&amp;IFERROR(INDEX(C300:C799,MATCH(A337,A300:A799,0)),"?"),"")</f>
        <v/>
      </c>
      <c r="E337" s="32"/>
      <c r="F337" s="32"/>
      <c r="G337" s="32"/>
      <c r="H337" s="32"/>
    </row>
    <row r="338" spans="1:8" ht="16.5" customHeight="1" x14ac:dyDescent="0.25">
      <c r="A338" s="15"/>
      <c r="B338" s="16"/>
      <c r="C338" s="26"/>
      <c r="D338" s="33" t="str">
        <f t="shared" ref="D338" si="186">IF(AND(A338&lt;&gt;"",COUNTIF(A302:A801,A338)&gt;1),"⚠️ JÁ PESADO! Peso: "&amp;TEXT(IFERROR(INDEX(B302:B801,MATCH(A338,A302:A801,0)),0),"#,##0.0")&amp;" kg  Lote: "&amp;IFERROR(INDEX(C302:C801,MATCH(A338,A302:A801,0)),"?"),"")</f>
        <v/>
      </c>
      <c r="E338" s="33"/>
      <c r="F338" s="33"/>
      <c r="G338" s="33"/>
      <c r="H338" s="33"/>
    </row>
    <row r="339" spans="1:8" ht="16.5" customHeight="1" x14ac:dyDescent="0.25">
      <c r="A339" s="17"/>
      <c r="B339" s="18"/>
      <c r="C339" s="27"/>
      <c r="D339" s="32" t="str">
        <f t="shared" ref="D339" si="187">IF(AND(A339&lt;&gt;"",COUNTIF(A302:A801,A339)&gt;1),"⚠️ JÁ PESADO! Peso: "&amp;TEXT(IFERROR(INDEX(B302:B801,MATCH(A339,A302:A801,0)),0),"#,##0.0")&amp;" kg  Lote: "&amp;IFERROR(INDEX(C302:C801,MATCH(A339,A302:A801,0)),"?"),"")</f>
        <v/>
      </c>
      <c r="E339" s="32"/>
      <c r="F339" s="32"/>
      <c r="G339" s="32"/>
      <c r="H339" s="32"/>
    </row>
    <row r="340" spans="1:8" ht="16.5" customHeight="1" x14ac:dyDescent="0.25">
      <c r="A340" s="15"/>
      <c r="B340" s="16"/>
      <c r="C340" s="26"/>
      <c r="D340" s="33" t="str">
        <f t="shared" ref="D340" si="188">IF(AND(A340&lt;&gt;"",COUNTIF(A304:A803,A340)&gt;1),"⚠️ JÁ PESADO! Peso: "&amp;TEXT(IFERROR(INDEX(B304:B803,MATCH(A340,A304:A803,0)),0),"#,##0.0")&amp;" kg  Lote: "&amp;IFERROR(INDEX(C304:C803,MATCH(A340,A304:A803,0)),"?"),"")</f>
        <v/>
      </c>
      <c r="E340" s="33"/>
      <c r="F340" s="33"/>
      <c r="G340" s="33"/>
      <c r="H340" s="33"/>
    </row>
    <row r="341" spans="1:8" ht="16.5" customHeight="1" x14ac:dyDescent="0.25">
      <c r="A341" s="17"/>
      <c r="B341" s="18"/>
      <c r="C341" s="27"/>
      <c r="D341" s="32" t="str">
        <f t="shared" ref="D341" si="189">IF(AND(A341&lt;&gt;"",COUNTIF(A304:A803,A341)&gt;1),"⚠️ JÁ PESADO! Peso: "&amp;TEXT(IFERROR(INDEX(B304:B803,MATCH(A341,A304:A803,0)),0),"#,##0.0")&amp;" kg  Lote: "&amp;IFERROR(INDEX(C304:C803,MATCH(A341,A304:A803,0)),"?"),"")</f>
        <v/>
      </c>
      <c r="E341" s="32"/>
      <c r="F341" s="32"/>
      <c r="G341" s="32"/>
      <c r="H341" s="32"/>
    </row>
    <row r="342" spans="1:8" ht="16.5" customHeight="1" x14ac:dyDescent="0.25">
      <c r="A342" s="15"/>
      <c r="B342" s="16"/>
      <c r="C342" s="26"/>
      <c r="D342" s="33" t="str">
        <f t="shared" ref="D342" si="190">IF(AND(A342&lt;&gt;"",COUNTIF(A306:A805,A342)&gt;1),"⚠️ JÁ PESADO! Peso: "&amp;TEXT(IFERROR(INDEX(B306:B805,MATCH(A342,A306:A805,0)),0),"#,##0.0")&amp;" kg  Lote: "&amp;IFERROR(INDEX(C306:C805,MATCH(A342,A306:A805,0)),"?"),"")</f>
        <v/>
      </c>
      <c r="E342" s="33"/>
      <c r="F342" s="33"/>
      <c r="G342" s="33"/>
      <c r="H342" s="33"/>
    </row>
    <row r="343" spans="1:8" ht="16.5" customHeight="1" x14ac:dyDescent="0.25">
      <c r="A343" s="17"/>
      <c r="B343" s="18"/>
      <c r="C343" s="27"/>
      <c r="D343" s="32" t="str">
        <f t="shared" ref="D343" si="191">IF(AND(A343&lt;&gt;"",COUNTIF(A306:A805,A343)&gt;1),"⚠️ JÁ PESADO! Peso: "&amp;TEXT(IFERROR(INDEX(B306:B805,MATCH(A343,A306:A805,0)),0),"#,##0.0")&amp;" kg  Lote: "&amp;IFERROR(INDEX(C306:C805,MATCH(A343,A306:A805,0)),"?"),"")</f>
        <v/>
      </c>
      <c r="E343" s="32"/>
      <c r="F343" s="32"/>
      <c r="G343" s="32"/>
      <c r="H343" s="32"/>
    </row>
    <row r="344" spans="1:8" ht="16.5" customHeight="1" x14ac:dyDescent="0.25">
      <c r="A344" s="15"/>
      <c r="B344" s="16"/>
      <c r="C344" s="26"/>
      <c r="D344" s="33" t="str">
        <f t="shared" ref="D344" si="192">IF(AND(A344&lt;&gt;"",COUNTIF(A308:A807,A344)&gt;1),"⚠️ JÁ PESADO! Peso: "&amp;TEXT(IFERROR(INDEX(B308:B807,MATCH(A344,A308:A807,0)),0),"#,##0.0")&amp;" kg  Lote: "&amp;IFERROR(INDEX(C308:C807,MATCH(A344,A308:A807,0)),"?"),"")</f>
        <v/>
      </c>
      <c r="E344" s="33"/>
      <c r="F344" s="33"/>
      <c r="G344" s="33"/>
      <c r="H344" s="33"/>
    </row>
    <row r="345" spans="1:8" ht="16.5" customHeight="1" x14ac:dyDescent="0.25">
      <c r="A345" s="17"/>
      <c r="B345" s="18"/>
      <c r="C345" s="27"/>
      <c r="D345" s="32" t="str">
        <f t="shared" ref="D345" si="193">IF(AND(A345&lt;&gt;"",COUNTIF(A308:A807,A345)&gt;1),"⚠️ JÁ PESADO! Peso: "&amp;TEXT(IFERROR(INDEX(B308:B807,MATCH(A345,A308:A807,0)),0),"#,##0.0")&amp;" kg  Lote: "&amp;IFERROR(INDEX(C308:C807,MATCH(A345,A308:A807,0)),"?"),"")</f>
        <v/>
      </c>
      <c r="E345" s="32"/>
      <c r="F345" s="32"/>
      <c r="G345" s="32"/>
      <c r="H345" s="32"/>
    </row>
    <row r="346" spans="1:8" ht="16.5" customHeight="1" x14ac:dyDescent="0.25">
      <c r="A346" s="15"/>
      <c r="B346" s="16"/>
      <c r="C346" s="26"/>
      <c r="D346" s="33" t="str">
        <f t="shared" ref="D346" si="194">IF(AND(A346&lt;&gt;"",COUNTIF(A310:A809,A346)&gt;1),"⚠️ JÁ PESADO! Peso: "&amp;TEXT(IFERROR(INDEX(B310:B809,MATCH(A346,A310:A809,0)),0),"#,##0.0")&amp;" kg  Lote: "&amp;IFERROR(INDEX(C310:C809,MATCH(A346,A310:A809,0)),"?"),"")</f>
        <v/>
      </c>
      <c r="E346" s="33"/>
      <c r="F346" s="33"/>
      <c r="G346" s="33"/>
      <c r="H346" s="33"/>
    </row>
    <row r="347" spans="1:8" ht="16.5" customHeight="1" x14ac:dyDescent="0.25">
      <c r="A347" s="17"/>
      <c r="B347" s="18"/>
      <c r="C347" s="27"/>
      <c r="D347" s="32" t="str">
        <f t="shared" ref="D347" si="195">IF(AND(A347&lt;&gt;"",COUNTIF(A310:A809,A347)&gt;1),"⚠️ JÁ PESADO! Peso: "&amp;TEXT(IFERROR(INDEX(B310:B809,MATCH(A347,A310:A809,0)),0),"#,##0.0")&amp;" kg  Lote: "&amp;IFERROR(INDEX(C310:C809,MATCH(A347,A310:A809,0)),"?"),"")</f>
        <v/>
      </c>
      <c r="E347" s="32"/>
      <c r="F347" s="32"/>
      <c r="G347" s="32"/>
      <c r="H347" s="32"/>
    </row>
    <row r="348" spans="1:8" ht="16.5" customHeight="1" x14ac:dyDescent="0.25">
      <c r="A348" s="15"/>
      <c r="B348" s="16"/>
      <c r="C348" s="26"/>
      <c r="D348" s="33" t="str">
        <f t="shared" ref="D348" si="196">IF(AND(A348&lt;&gt;"",COUNTIF(A312:A811,A348)&gt;1),"⚠️ JÁ PESADO! Peso: "&amp;TEXT(IFERROR(INDEX(B312:B811,MATCH(A348,A312:A811,0)),0),"#,##0.0")&amp;" kg  Lote: "&amp;IFERROR(INDEX(C312:C811,MATCH(A348,A312:A811,0)),"?"),"")</f>
        <v/>
      </c>
      <c r="E348" s="33"/>
      <c r="F348" s="33"/>
      <c r="G348" s="33"/>
      <c r="H348" s="33"/>
    </row>
    <row r="349" spans="1:8" ht="16.5" customHeight="1" x14ac:dyDescent="0.25">
      <c r="A349" s="17"/>
      <c r="B349" s="18"/>
      <c r="C349" s="27"/>
      <c r="D349" s="32" t="str">
        <f t="shared" ref="D349" si="197">IF(AND(A349&lt;&gt;"",COUNTIF(A312:A811,A349)&gt;1),"⚠️ JÁ PESADO! Peso: "&amp;TEXT(IFERROR(INDEX(B312:B811,MATCH(A349,A312:A811,0)),0),"#,##0.0")&amp;" kg  Lote: "&amp;IFERROR(INDEX(C312:C811,MATCH(A349,A312:A811,0)),"?"),"")</f>
        <v/>
      </c>
      <c r="E349" s="32"/>
      <c r="F349" s="32"/>
      <c r="G349" s="32"/>
      <c r="H349" s="32"/>
    </row>
    <row r="350" spans="1:8" ht="16.5" customHeight="1" x14ac:dyDescent="0.25">
      <c r="A350" s="15"/>
      <c r="B350" s="16"/>
      <c r="C350" s="26"/>
      <c r="D350" s="33" t="str">
        <f t="shared" ref="D350" si="198">IF(AND(A350&lt;&gt;"",COUNTIF(A314:A813,A350)&gt;1),"⚠️ JÁ PESADO! Peso: "&amp;TEXT(IFERROR(INDEX(B314:B813,MATCH(A350,A314:A813,0)),0),"#,##0.0")&amp;" kg  Lote: "&amp;IFERROR(INDEX(C314:C813,MATCH(A350,A314:A813,0)),"?"),"")</f>
        <v/>
      </c>
      <c r="E350" s="33"/>
      <c r="F350" s="33"/>
      <c r="G350" s="33"/>
      <c r="H350" s="33"/>
    </row>
    <row r="351" spans="1:8" ht="16.5" customHeight="1" x14ac:dyDescent="0.25">
      <c r="A351" s="17"/>
      <c r="B351" s="18"/>
      <c r="C351" s="27"/>
      <c r="D351" s="32" t="str">
        <f t="shared" ref="D351" si="199">IF(AND(A351&lt;&gt;"",COUNTIF(A314:A813,A351)&gt;1),"⚠️ JÁ PESADO! Peso: "&amp;TEXT(IFERROR(INDEX(B314:B813,MATCH(A351,A314:A813,0)),0),"#,##0.0")&amp;" kg  Lote: "&amp;IFERROR(INDEX(C314:C813,MATCH(A351,A314:A813,0)),"?"),"")</f>
        <v/>
      </c>
      <c r="E351" s="32"/>
      <c r="F351" s="32"/>
      <c r="G351" s="32"/>
      <c r="H351" s="32"/>
    </row>
    <row r="352" spans="1:8" ht="16.5" customHeight="1" x14ac:dyDescent="0.25">
      <c r="A352" s="15"/>
      <c r="B352" s="16"/>
      <c r="C352" s="26"/>
      <c r="D352" s="33" t="str">
        <f t="shared" ref="D352" si="200">IF(AND(A352&lt;&gt;"",COUNTIF(A316:A815,A352)&gt;1),"⚠️ JÁ PESADO! Peso: "&amp;TEXT(IFERROR(INDEX(B316:B815,MATCH(A352,A316:A815,0)),0),"#,##0.0")&amp;" kg  Lote: "&amp;IFERROR(INDEX(C316:C815,MATCH(A352,A316:A815,0)),"?"),"")</f>
        <v/>
      </c>
      <c r="E352" s="33"/>
      <c r="F352" s="33"/>
      <c r="G352" s="33"/>
      <c r="H352" s="33"/>
    </row>
    <row r="353" spans="1:8" ht="16.5" customHeight="1" x14ac:dyDescent="0.25">
      <c r="A353" s="17"/>
      <c r="B353" s="18"/>
      <c r="C353" s="27"/>
      <c r="D353" s="32" t="str">
        <f t="shared" ref="D353" si="201">IF(AND(A353&lt;&gt;"",COUNTIF(A316:A815,A353)&gt;1),"⚠️ JÁ PESADO! Peso: "&amp;TEXT(IFERROR(INDEX(B316:B815,MATCH(A353,A316:A815,0)),0),"#,##0.0")&amp;" kg  Lote: "&amp;IFERROR(INDEX(C316:C815,MATCH(A353,A316:A815,0)),"?"),"")</f>
        <v/>
      </c>
      <c r="E353" s="32"/>
      <c r="F353" s="32"/>
      <c r="G353" s="32"/>
      <c r="H353" s="32"/>
    </row>
    <row r="354" spans="1:8" ht="16.5" customHeight="1" x14ac:dyDescent="0.25">
      <c r="A354" s="15"/>
      <c r="B354" s="16"/>
      <c r="C354" s="26"/>
      <c r="D354" s="33" t="str">
        <f t="shared" ref="D354" si="202">IF(AND(A354&lt;&gt;"",COUNTIF(A318:A817,A354)&gt;1),"⚠️ JÁ PESADO! Peso: "&amp;TEXT(IFERROR(INDEX(B318:B817,MATCH(A354,A318:A817,0)),0),"#,##0.0")&amp;" kg  Lote: "&amp;IFERROR(INDEX(C318:C817,MATCH(A354,A318:A817,0)),"?"),"")</f>
        <v/>
      </c>
      <c r="E354" s="33"/>
      <c r="F354" s="33"/>
      <c r="G354" s="33"/>
      <c r="H354" s="33"/>
    </row>
    <row r="355" spans="1:8" ht="16.5" customHeight="1" x14ac:dyDescent="0.25">
      <c r="A355" s="17"/>
      <c r="B355" s="18"/>
      <c r="C355" s="27"/>
      <c r="D355" s="32" t="str">
        <f t="shared" ref="D355" si="203">IF(AND(A355&lt;&gt;"",COUNTIF(A318:A817,A355)&gt;1),"⚠️ JÁ PESADO! Peso: "&amp;TEXT(IFERROR(INDEX(B318:B817,MATCH(A355,A318:A817,0)),0),"#,##0.0")&amp;" kg  Lote: "&amp;IFERROR(INDEX(C318:C817,MATCH(A355,A318:A817,0)),"?"),"")</f>
        <v/>
      </c>
      <c r="E355" s="32"/>
      <c r="F355" s="32"/>
      <c r="G355" s="32"/>
      <c r="H355" s="32"/>
    </row>
    <row r="356" spans="1:8" ht="16.5" customHeight="1" x14ac:dyDescent="0.25">
      <c r="A356" s="15"/>
      <c r="B356" s="16"/>
      <c r="C356" s="26"/>
      <c r="D356" s="33" t="str">
        <f t="shared" ref="D356" si="204">IF(AND(A356&lt;&gt;"",COUNTIF(A320:A819,A356)&gt;1),"⚠️ JÁ PESADO! Peso: "&amp;TEXT(IFERROR(INDEX(B320:B819,MATCH(A356,A320:A819,0)),0),"#,##0.0")&amp;" kg  Lote: "&amp;IFERROR(INDEX(C320:C819,MATCH(A356,A320:A819,0)),"?"),"")</f>
        <v/>
      </c>
      <c r="E356" s="33"/>
      <c r="F356" s="33"/>
      <c r="G356" s="33"/>
      <c r="H356" s="33"/>
    </row>
    <row r="357" spans="1:8" ht="16.5" customHeight="1" x14ac:dyDescent="0.25">
      <c r="A357" s="17"/>
      <c r="B357" s="18"/>
      <c r="C357" s="27"/>
      <c r="D357" s="32" t="str">
        <f t="shared" ref="D357" si="205">IF(AND(A357&lt;&gt;"",COUNTIF(A320:A819,A357)&gt;1),"⚠️ JÁ PESADO! Peso: "&amp;TEXT(IFERROR(INDEX(B320:B819,MATCH(A357,A320:A819,0)),0),"#,##0.0")&amp;" kg  Lote: "&amp;IFERROR(INDEX(C320:C819,MATCH(A357,A320:A819,0)),"?"),"")</f>
        <v/>
      </c>
      <c r="E357" s="32"/>
      <c r="F357" s="32"/>
      <c r="G357" s="32"/>
      <c r="H357" s="32"/>
    </row>
    <row r="358" spans="1:8" ht="16.5" customHeight="1" x14ac:dyDescent="0.25">
      <c r="A358" s="15"/>
      <c r="B358" s="16"/>
      <c r="C358" s="26"/>
      <c r="D358" s="33" t="str">
        <f t="shared" ref="D358" si="206">IF(AND(A358&lt;&gt;"",COUNTIF(A322:A821,A358)&gt;1),"⚠️ JÁ PESADO! Peso: "&amp;TEXT(IFERROR(INDEX(B322:B821,MATCH(A358,A322:A821,0)),0),"#,##0.0")&amp;" kg  Lote: "&amp;IFERROR(INDEX(C322:C821,MATCH(A358,A322:A821,0)),"?"),"")</f>
        <v/>
      </c>
      <c r="E358" s="33"/>
      <c r="F358" s="33"/>
      <c r="G358" s="33"/>
      <c r="H358" s="33"/>
    </row>
    <row r="359" spans="1:8" ht="16.5" customHeight="1" x14ac:dyDescent="0.25">
      <c r="A359" s="17"/>
      <c r="B359" s="18"/>
      <c r="C359" s="27"/>
      <c r="D359" s="32" t="str">
        <f t="shared" ref="D359" si="207">IF(AND(A359&lt;&gt;"",COUNTIF(A322:A821,A359)&gt;1),"⚠️ JÁ PESADO! Peso: "&amp;TEXT(IFERROR(INDEX(B322:B821,MATCH(A359,A322:A821,0)),0),"#,##0.0")&amp;" kg  Lote: "&amp;IFERROR(INDEX(C322:C821,MATCH(A359,A322:A821,0)),"?"),"")</f>
        <v/>
      </c>
      <c r="E359" s="32"/>
      <c r="F359" s="32"/>
      <c r="G359" s="32"/>
      <c r="H359" s="32"/>
    </row>
    <row r="360" spans="1:8" ht="16.5" customHeight="1" x14ac:dyDescent="0.25">
      <c r="A360" s="15"/>
      <c r="B360" s="16"/>
      <c r="C360" s="26"/>
      <c r="D360" s="33" t="str">
        <f t="shared" ref="D360" si="208">IF(AND(A360&lt;&gt;"",COUNTIF(A324:A823,A360)&gt;1),"⚠️ JÁ PESADO! Peso: "&amp;TEXT(IFERROR(INDEX(B324:B823,MATCH(A360,A324:A823,0)),0),"#,##0.0")&amp;" kg  Lote: "&amp;IFERROR(INDEX(C324:C823,MATCH(A360,A324:A823,0)),"?"),"")</f>
        <v/>
      </c>
      <c r="E360" s="33"/>
      <c r="F360" s="33"/>
      <c r="G360" s="33"/>
      <c r="H360" s="33"/>
    </row>
    <row r="361" spans="1:8" ht="16.5" customHeight="1" x14ac:dyDescent="0.25">
      <c r="A361" s="17"/>
      <c r="B361" s="18"/>
      <c r="C361" s="27"/>
      <c r="D361" s="32" t="str">
        <f t="shared" ref="D361" si="209">IF(AND(A361&lt;&gt;"",COUNTIF(A324:A823,A361)&gt;1),"⚠️ JÁ PESADO! Peso: "&amp;TEXT(IFERROR(INDEX(B324:B823,MATCH(A361,A324:A823,0)),0),"#,##0.0")&amp;" kg  Lote: "&amp;IFERROR(INDEX(C324:C823,MATCH(A361,A324:A823,0)),"?"),"")</f>
        <v/>
      </c>
      <c r="E361" s="32"/>
      <c r="F361" s="32"/>
      <c r="G361" s="32"/>
      <c r="H361" s="32"/>
    </row>
    <row r="362" spans="1:8" ht="16.5" customHeight="1" x14ac:dyDescent="0.25">
      <c r="A362" s="15"/>
      <c r="B362" s="16"/>
      <c r="C362" s="26"/>
      <c r="D362" s="33" t="str">
        <f t="shared" ref="D362" si="210">IF(AND(A362&lt;&gt;"",COUNTIF(A326:A825,A362)&gt;1),"⚠️ JÁ PESADO! Peso: "&amp;TEXT(IFERROR(INDEX(B326:B825,MATCH(A362,A326:A825,0)),0),"#,##0.0")&amp;" kg  Lote: "&amp;IFERROR(INDEX(C326:C825,MATCH(A362,A326:A825,0)),"?"),"")</f>
        <v/>
      </c>
      <c r="E362" s="33"/>
      <c r="F362" s="33"/>
      <c r="G362" s="33"/>
      <c r="H362" s="33"/>
    </row>
    <row r="363" spans="1:8" ht="16.5" customHeight="1" x14ac:dyDescent="0.25">
      <c r="A363" s="17"/>
      <c r="B363" s="18"/>
      <c r="C363" s="27"/>
      <c r="D363" s="32" t="str">
        <f t="shared" ref="D363" si="211">IF(AND(A363&lt;&gt;"",COUNTIF(A326:A825,A363)&gt;1),"⚠️ JÁ PESADO! Peso: "&amp;TEXT(IFERROR(INDEX(B326:B825,MATCH(A363,A326:A825,0)),0),"#,##0.0")&amp;" kg  Lote: "&amp;IFERROR(INDEX(C326:C825,MATCH(A363,A326:A825,0)),"?"),"")</f>
        <v/>
      </c>
      <c r="E363" s="32"/>
      <c r="F363" s="32"/>
      <c r="G363" s="32"/>
      <c r="H363" s="32"/>
    </row>
    <row r="364" spans="1:8" ht="16.5" customHeight="1" x14ac:dyDescent="0.25">
      <c r="A364" s="15"/>
      <c r="B364" s="16"/>
      <c r="C364" s="26"/>
      <c r="D364" s="33" t="str">
        <f t="shared" ref="D364" si="212">IF(AND(A364&lt;&gt;"",COUNTIF(A328:A827,A364)&gt;1),"⚠️ JÁ PESADO! Peso: "&amp;TEXT(IFERROR(INDEX(B328:B827,MATCH(A364,A328:A827,0)),0),"#,##0.0")&amp;" kg  Lote: "&amp;IFERROR(INDEX(C328:C827,MATCH(A364,A328:A827,0)),"?"),"")</f>
        <v/>
      </c>
      <c r="E364" s="33"/>
      <c r="F364" s="33"/>
      <c r="G364" s="33"/>
      <c r="H364" s="33"/>
    </row>
    <row r="365" spans="1:8" ht="16.5" customHeight="1" x14ac:dyDescent="0.25">
      <c r="A365" s="17"/>
      <c r="B365" s="18"/>
      <c r="C365" s="27"/>
      <c r="D365" s="32" t="str">
        <f t="shared" ref="D365" si="213">IF(AND(A365&lt;&gt;"",COUNTIF(A328:A827,A365)&gt;1),"⚠️ JÁ PESADO! Peso: "&amp;TEXT(IFERROR(INDEX(B328:B827,MATCH(A365,A328:A827,0)),0),"#,##0.0")&amp;" kg  Lote: "&amp;IFERROR(INDEX(C328:C827,MATCH(A365,A328:A827,0)),"?"),"")</f>
        <v/>
      </c>
      <c r="E365" s="32"/>
      <c r="F365" s="32"/>
      <c r="G365" s="32"/>
      <c r="H365" s="32"/>
    </row>
    <row r="366" spans="1:8" ht="16.5" customHeight="1" x14ac:dyDescent="0.25">
      <c r="A366" s="15"/>
      <c r="B366" s="16"/>
      <c r="C366" s="26"/>
      <c r="D366" s="33" t="str">
        <f t="shared" ref="D366" si="214">IF(AND(A366&lt;&gt;"",COUNTIF(A330:A829,A366)&gt;1),"⚠️ JÁ PESADO! Peso: "&amp;TEXT(IFERROR(INDEX(B330:B829,MATCH(A366,A330:A829,0)),0),"#,##0.0")&amp;" kg  Lote: "&amp;IFERROR(INDEX(C330:C829,MATCH(A366,A330:A829,0)),"?"),"")</f>
        <v/>
      </c>
      <c r="E366" s="33"/>
      <c r="F366" s="33"/>
      <c r="G366" s="33"/>
      <c r="H366" s="33"/>
    </row>
    <row r="367" spans="1:8" ht="16.5" customHeight="1" x14ac:dyDescent="0.25">
      <c r="A367" s="17"/>
      <c r="B367" s="18"/>
      <c r="C367" s="27"/>
      <c r="D367" s="32" t="str">
        <f t="shared" ref="D367" si="215">IF(AND(A367&lt;&gt;"",COUNTIF(A330:A829,A367)&gt;1),"⚠️ JÁ PESADO! Peso: "&amp;TEXT(IFERROR(INDEX(B330:B829,MATCH(A367,A330:A829,0)),0),"#,##0.0")&amp;" kg  Lote: "&amp;IFERROR(INDEX(C330:C829,MATCH(A367,A330:A829,0)),"?"),"")</f>
        <v/>
      </c>
      <c r="E367" s="32"/>
      <c r="F367" s="32"/>
      <c r="G367" s="32"/>
      <c r="H367" s="32"/>
    </row>
    <row r="368" spans="1:8" ht="16.5" customHeight="1" x14ac:dyDescent="0.25">
      <c r="A368" s="15"/>
      <c r="B368" s="16"/>
      <c r="C368" s="26"/>
      <c r="D368" s="33" t="str">
        <f t="shared" ref="D368" si="216">IF(AND(A368&lt;&gt;"",COUNTIF(A332:A831,A368)&gt;1),"⚠️ JÁ PESADO! Peso: "&amp;TEXT(IFERROR(INDEX(B332:B831,MATCH(A368,A332:A831,0)),0),"#,##0.0")&amp;" kg  Lote: "&amp;IFERROR(INDEX(C332:C831,MATCH(A368,A332:A831,0)),"?"),"")</f>
        <v/>
      </c>
      <c r="E368" s="33"/>
      <c r="F368" s="33"/>
      <c r="G368" s="33"/>
      <c r="H368" s="33"/>
    </row>
    <row r="369" spans="1:8" ht="16.5" customHeight="1" x14ac:dyDescent="0.25">
      <c r="A369" s="17"/>
      <c r="B369" s="18"/>
      <c r="C369" s="27"/>
      <c r="D369" s="32" t="str">
        <f t="shared" ref="D369" si="217">IF(AND(A369&lt;&gt;"",COUNTIF(A332:A831,A369)&gt;1),"⚠️ JÁ PESADO! Peso: "&amp;TEXT(IFERROR(INDEX(B332:B831,MATCH(A369,A332:A831,0)),0),"#,##0.0")&amp;" kg  Lote: "&amp;IFERROR(INDEX(C332:C831,MATCH(A369,A332:A831,0)),"?"),"")</f>
        <v/>
      </c>
      <c r="E369" s="32"/>
      <c r="F369" s="32"/>
      <c r="G369" s="32"/>
      <c r="H369" s="32"/>
    </row>
    <row r="370" spans="1:8" ht="16.5" customHeight="1" x14ac:dyDescent="0.25">
      <c r="A370" s="15"/>
      <c r="B370" s="16"/>
      <c r="C370" s="26"/>
      <c r="D370" s="33" t="str">
        <f t="shared" ref="D370" si="218">IF(AND(A370&lt;&gt;"",COUNTIF(A334:A833,A370)&gt;1),"⚠️ JÁ PESADO! Peso: "&amp;TEXT(IFERROR(INDEX(B334:B833,MATCH(A370,A334:A833,0)),0),"#,##0.0")&amp;" kg  Lote: "&amp;IFERROR(INDEX(C334:C833,MATCH(A370,A334:A833,0)),"?"),"")</f>
        <v/>
      </c>
      <c r="E370" s="33"/>
      <c r="F370" s="33"/>
      <c r="G370" s="33"/>
      <c r="H370" s="33"/>
    </row>
    <row r="371" spans="1:8" ht="16.5" customHeight="1" x14ac:dyDescent="0.25">
      <c r="A371" s="17"/>
      <c r="B371" s="18"/>
      <c r="C371" s="27"/>
      <c r="D371" s="32" t="str">
        <f t="shared" ref="D371" si="219">IF(AND(A371&lt;&gt;"",COUNTIF(A334:A833,A371)&gt;1),"⚠️ JÁ PESADO! Peso: "&amp;TEXT(IFERROR(INDEX(B334:B833,MATCH(A371,A334:A833,0)),0),"#,##0.0")&amp;" kg  Lote: "&amp;IFERROR(INDEX(C334:C833,MATCH(A371,A334:A833,0)),"?"),"")</f>
        <v/>
      </c>
      <c r="E371" s="32"/>
      <c r="F371" s="32"/>
      <c r="G371" s="32"/>
      <c r="H371" s="32"/>
    </row>
    <row r="372" spans="1:8" ht="16.5" customHeight="1" x14ac:dyDescent="0.25">
      <c r="A372" s="15"/>
      <c r="B372" s="16"/>
      <c r="C372" s="26"/>
      <c r="D372" s="33" t="str">
        <f t="shared" ref="D372" si="220">IF(AND(A372&lt;&gt;"",COUNTIF(A336:A835,A372)&gt;1),"⚠️ JÁ PESADO! Peso: "&amp;TEXT(IFERROR(INDEX(B336:B835,MATCH(A372,A336:A835,0)),0),"#,##0.0")&amp;" kg  Lote: "&amp;IFERROR(INDEX(C336:C835,MATCH(A372,A336:A835,0)),"?"),"")</f>
        <v/>
      </c>
      <c r="E372" s="33"/>
      <c r="F372" s="33"/>
      <c r="G372" s="33"/>
      <c r="H372" s="33"/>
    </row>
    <row r="373" spans="1:8" ht="16.5" customHeight="1" x14ac:dyDescent="0.25">
      <c r="A373" s="17"/>
      <c r="B373" s="18"/>
      <c r="C373" s="27"/>
      <c r="D373" s="32" t="str">
        <f t="shared" ref="D373" si="221">IF(AND(A373&lt;&gt;"",COUNTIF(A336:A835,A373)&gt;1),"⚠️ JÁ PESADO! Peso: "&amp;TEXT(IFERROR(INDEX(B336:B835,MATCH(A373,A336:A835,0)),0),"#,##0.0")&amp;" kg  Lote: "&amp;IFERROR(INDEX(C336:C835,MATCH(A373,A336:A835,0)),"?"),"")</f>
        <v/>
      </c>
      <c r="E373" s="32"/>
      <c r="F373" s="32"/>
      <c r="G373" s="32"/>
      <c r="H373" s="32"/>
    </row>
    <row r="374" spans="1:8" ht="16.5" customHeight="1" x14ac:dyDescent="0.25">
      <c r="A374" s="15"/>
      <c r="B374" s="16"/>
      <c r="C374" s="26"/>
      <c r="D374" s="33" t="str">
        <f t="shared" ref="D374" si="222">IF(AND(A374&lt;&gt;"",COUNTIF(A338:A837,A374)&gt;1),"⚠️ JÁ PESADO! Peso: "&amp;TEXT(IFERROR(INDEX(B338:B837,MATCH(A374,A338:A837,0)),0),"#,##0.0")&amp;" kg  Lote: "&amp;IFERROR(INDEX(C338:C837,MATCH(A374,A338:A837,0)),"?"),"")</f>
        <v/>
      </c>
      <c r="E374" s="33"/>
      <c r="F374" s="33"/>
      <c r="G374" s="33"/>
      <c r="H374" s="33"/>
    </row>
    <row r="375" spans="1:8" ht="16.5" customHeight="1" x14ac:dyDescent="0.25">
      <c r="A375" s="17"/>
      <c r="B375" s="18"/>
      <c r="C375" s="27"/>
      <c r="D375" s="32" t="str">
        <f t="shared" ref="D375" si="223">IF(AND(A375&lt;&gt;"",COUNTIF(A338:A837,A375)&gt;1),"⚠️ JÁ PESADO! Peso: "&amp;TEXT(IFERROR(INDEX(B338:B837,MATCH(A375,A338:A837,0)),0),"#,##0.0")&amp;" kg  Lote: "&amp;IFERROR(INDEX(C338:C837,MATCH(A375,A338:A837,0)),"?"),"")</f>
        <v/>
      </c>
      <c r="E375" s="32"/>
      <c r="F375" s="32"/>
      <c r="G375" s="32"/>
      <c r="H375" s="32"/>
    </row>
    <row r="376" spans="1:8" ht="16.5" customHeight="1" x14ac:dyDescent="0.25">
      <c r="A376" s="15"/>
      <c r="B376" s="16"/>
      <c r="C376" s="26"/>
      <c r="D376" s="33" t="str">
        <f t="shared" ref="D376" si="224">IF(AND(A376&lt;&gt;"",COUNTIF(A340:A839,A376)&gt;1),"⚠️ JÁ PESADO! Peso: "&amp;TEXT(IFERROR(INDEX(B340:B839,MATCH(A376,A340:A839,0)),0),"#,##0.0")&amp;" kg  Lote: "&amp;IFERROR(INDEX(C340:C839,MATCH(A376,A340:A839,0)),"?"),"")</f>
        <v/>
      </c>
      <c r="E376" s="33"/>
      <c r="F376" s="33"/>
      <c r="G376" s="33"/>
      <c r="H376" s="33"/>
    </row>
    <row r="377" spans="1:8" ht="16.5" customHeight="1" x14ac:dyDescent="0.25">
      <c r="A377" s="17"/>
      <c r="B377" s="18"/>
      <c r="C377" s="27"/>
      <c r="D377" s="32" t="str">
        <f t="shared" ref="D377" si="225">IF(AND(A377&lt;&gt;"",COUNTIF(A340:A839,A377)&gt;1),"⚠️ JÁ PESADO! Peso: "&amp;TEXT(IFERROR(INDEX(B340:B839,MATCH(A377,A340:A839,0)),0),"#,##0.0")&amp;" kg  Lote: "&amp;IFERROR(INDEX(C340:C839,MATCH(A377,A340:A839,0)),"?"),"")</f>
        <v/>
      </c>
      <c r="E377" s="32"/>
      <c r="F377" s="32"/>
      <c r="G377" s="32"/>
      <c r="H377" s="32"/>
    </row>
    <row r="378" spans="1:8" ht="16.5" customHeight="1" x14ac:dyDescent="0.25">
      <c r="A378" s="15"/>
      <c r="B378" s="16"/>
      <c r="C378" s="26"/>
      <c r="D378" s="33" t="str">
        <f t="shared" ref="D378" si="226">IF(AND(A378&lt;&gt;"",COUNTIF(A342:A841,A378)&gt;1),"⚠️ JÁ PESADO! Peso: "&amp;TEXT(IFERROR(INDEX(B342:B841,MATCH(A378,A342:A841,0)),0),"#,##0.0")&amp;" kg  Lote: "&amp;IFERROR(INDEX(C342:C841,MATCH(A378,A342:A841,0)),"?"),"")</f>
        <v/>
      </c>
      <c r="E378" s="33"/>
      <c r="F378" s="33"/>
      <c r="G378" s="33"/>
      <c r="H378" s="33"/>
    </row>
    <row r="379" spans="1:8" ht="16.5" customHeight="1" x14ac:dyDescent="0.25">
      <c r="A379" s="17"/>
      <c r="B379" s="18"/>
      <c r="C379" s="27"/>
      <c r="D379" s="32" t="str">
        <f t="shared" ref="D379" si="227">IF(AND(A379&lt;&gt;"",COUNTIF(A342:A841,A379)&gt;1),"⚠️ JÁ PESADO! Peso: "&amp;TEXT(IFERROR(INDEX(B342:B841,MATCH(A379,A342:A841,0)),0),"#,##0.0")&amp;" kg  Lote: "&amp;IFERROR(INDEX(C342:C841,MATCH(A379,A342:A841,0)),"?"),"")</f>
        <v/>
      </c>
      <c r="E379" s="32"/>
      <c r="F379" s="32"/>
      <c r="G379" s="32"/>
      <c r="H379" s="32"/>
    </row>
    <row r="380" spans="1:8" ht="16.5" customHeight="1" x14ac:dyDescent="0.25">
      <c r="A380" s="15"/>
      <c r="B380" s="16"/>
      <c r="C380" s="26"/>
      <c r="D380" s="33" t="str">
        <f t="shared" ref="D380" si="228">IF(AND(A380&lt;&gt;"",COUNTIF(A344:A843,A380)&gt;1),"⚠️ JÁ PESADO! Peso: "&amp;TEXT(IFERROR(INDEX(B344:B843,MATCH(A380,A344:A843,0)),0),"#,##0.0")&amp;" kg  Lote: "&amp;IFERROR(INDEX(C344:C843,MATCH(A380,A344:A843,0)),"?"),"")</f>
        <v/>
      </c>
      <c r="E380" s="33"/>
      <c r="F380" s="33"/>
      <c r="G380" s="33"/>
      <c r="H380" s="33"/>
    </row>
    <row r="381" spans="1:8" ht="16.5" customHeight="1" x14ac:dyDescent="0.25">
      <c r="A381" s="17"/>
      <c r="B381" s="18"/>
      <c r="C381" s="27"/>
      <c r="D381" s="32" t="str">
        <f t="shared" ref="D381" si="229">IF(AND(A381&lt;&gt;"",COUNTIF(A344:A843,A381)&gt;1),"⚠️ JÁ PESADO! Peso: "&amp;TEXT(IFERROR(INDEX(B344:B843,MATCH(A381,A344:A843,0)),0),"#,##0.0")&amp;" kg  Lote: "&amp;IFERROR(INDEX(C344:C843,MATCH(A381,A344:A843,0)),"?"),"")</f>
        <v/>
      </c>
      <c r="E381" s="32"/>
      <c r="F381" s="32"/>
      <c r="G381" s="32"/>
      <c r="H381" s="32"/>
    </row>
    <row r="382" spans="1:8" ht="16.5" customHeight="1" x14ac:dyDescent="0.25">
      <c r="A382" s="15"/>
      <c r="B382" s="16"/>
      <c r="C382" s="26"/>
      <c r="D382" s="33" t="str">
        <f t="shared" ref="D382" si="230">IF(AND(A382&lt;&gt;"",COUNTIF(A346:A845,A382)&gt;1),"⚠️ JÁ PESADO! Peso: "&amp;TEXT(IFERROR(INDEX(B346:B845,MATCH(A382,A346:A845,0)),0),"#,##0.0")&amp;" kg  Lote: "&amp;IFERROR(INDEX(C346:C845,MATCH(A382,A346:A845,0)),"?"),"")</f>
        <v/>
      </c>
      <c r="E382" s="33"/>
      <c r="F382" s="33"/>
      <c r="G382" s="33"/>
      <c r="H382" s="33"/>
    </row>
    <row r="383" spans="1:8" ht="16.5" customHeight="1" x14ac:dyDescent="0.25">
      <c r="A383" s="17"/>
      <c r="B383" s="18"/>
      <c r="C383" s="27"/>
      <c r="D383" s="32" t="str">
        <f t="shared" ref="D383" si="231">IF(AND(A383&lt;&gt;"",COUNTIF(A346:A845,A383)&gt;1),"⚠️ JÁ PESADO! Peso: "&amp;TEXT(IFERROR(INDEX(B346:B845,MATCH(A383,A346:A845,0)),0),"#,##0.0")&amp;" kg  Lote: "&amp;IFERROR(INDEX(C346:C845,MATCH(A383,A346:A845,0)),"?"),"")</f>
        <v/>
      </c>
      <c r="E383" s="32"/>
      <c r="F383" s="32"/>
      <c r="G383" s="32"/>
      <c r="H383" s="32"/>
    </row>
    <row r="384" spans="1:8" ht="16.5" customHeight="1" x14ac:dyDescent="0.25">
      <c r="A384" s="15"/>
      <c r="B384" s="16"/>
      <c r="C384" s="26"/>
      <c r="D384" s="33" t="str">
        <f t="shared" ref="D384" si="232">IF(AND(A384&lt;&gt;"",COUNTIF(A348:A847,A384)&gt;1),"⚠️ JÁ PESADO! Peso: "&amp;TEXT(IFERROR(INDEX(B348:B847,MATCH(A384,A348:A847,0)),0),"#,##0.0")&amp;" kg  Lote: "&amp;IFERROR(INDEX(C348:C847,MATCH(A384,A348:A847,0)),"?"),"")</f>
        <v/>
      </c>
      <c r="E384" s="33"/>
      <c r="F384" s="33"/>
      <c r="G384" s="33"/>
      <c r="H384" s="33"/>
    </row>
    <row r="385" spans="1:8" ht="16.5" customHeight="1" x14ac:dyDescent="0.25">
      <c r="A385" s="17"/>
      <c r="B385" s="18"/>
      <c r="C385" s="27"/>
      <c r="D385" s="32" t="str">
        <f t="shared" ref="D385" si="233">IF(AND(A385&lt;&gt;"",COUNTIF(A348:A847,A385)&gt;1),"⚠️ JÁ PESADO! Peso: "&amp;TEXT(IFERROR(INDEX(B348:B847,MATCH(A385,A348:A847,0)),0),"#,##0.0")&amp;" kg  Lote: "&amp;IFERROR(INDEX(C348:C847,MATCH(A385,A348:A847,0)),"?"),"")</f>
        <v/>
      </c>
      <c r="E385" s="32"/>
      <c r="F385" s="32"/>
      <c r="G385" s="32"/>
      <c r="H385" s="32"/>
    </row>
    <row r="386" spans="1:8" ht="16.5" customHeight="1" x14ac:dyDescent="0.25">
      <c r="A386" s="15"/>
      <c r="B386" s="16"/>
      <c r="C386" s="26"/>
      <c r="D386" s="33" t="str">
        <f t="shared" ref="D386" si="234">IF(AND(A386&lt;&gt;"",COUNTIF(A350:A849,A386)&gt;1),"⚠️ JÁ PESADO! Peso: "&amp;TEXT(IFERROR(INDEX(B350:B849,MATCH(A386,A350:A849,0)),0),"#,##0.0")&amp;" kg  Lote: "&amp;IFERROR(INDEX(C350:C849,MATCH(A386,A350:A849,0)),"?"),"")</f>
        <v/>
      </c>
      <c r="E386" s="33"/>
      <c r="F386" s="33"/>
      <c r="G386" s="33"/>
      <c r="H386" s="33"/>
    </row>
    <row r="387" spans="1:8" ht="16.5" customHeight="1" x14ac:dyDescent="0.25">
      <c r="A387" s="17"/>
      <c r="B387" s="18"/>
      <c r="C387" s="27"/>
      <c r="D387" s="32" t="str">
        <f t="shared" ref="D387" si="235">IF(AND(A387&lt;&gt;"",COUNTIF(A350:A849,A387)&gt;1),"⚠️ JÁ PESADO! Peso: "&amp;TEXT(IFERROR(INDEX(B350:B849,MATCH(A387,A350:A849,0)),0),"#,##0.0")&amp;" kg  Lote: "&amp;IFERROR(INDEX(C350:C849,MATCH(A387,A350:A849,0)),"?"),"")</f>
        <v/>
      </c>
      <c r="E387" s="32"/>
      <c r="F387" s="32"/>
      <c r="G387" s="32"/>
      <c r="H387" s="32"/>
    </row>
    <row r="388" spans="1:8" ht="16.5" customHeight="1" x14ac:dyDescent="0.25">
      <c r="A388" s="15"/>
      <c r="B388" s="16"/>
      <c r="C388" s="26"/>
      <c r="D388" s="33" t="str">
        <f t="shared" ref="D388" si="236">IF(AND(A388&lt;&gt;"",COUNTIF(A352:A851,A388)&gt;1),"⚠️ JÁ PESADO! Peso: "&amp;TEXT(IFERROR(INDEX(B352:B851,MATCH(A388,A352:A851,0)),0),"#,##0.0")&amp;" kg  Lote: "&amp;IFERROR(INDEX(C352:C851,MATCH(A388,A352:A851,0)),"?"),"")</f>
        <v/>
      </c>
      <c r="E388" s="33"/>
      <c r="F388" s="33"/>
      <c r="G388" s="33"/>
      <c r="H388" s="33"/>
    </row>
    <row r="389" spans="1:8" ht="16.5" customHeight="1" x14ac:dyDescent="0.25">
      <c r="A389" s="17"/>
      <c r="B389" s="18"/>
      <c r="C389" s="27"/>
      <c r="D389" s="32" t="str">
        <f t="shared" ref="D389" si="237">IF(AND(A389&lt;&gt;"",COUNTIF(A352:A851,A389)&gt;1),"⚠️ JÁ PESADO! Peso: "&amp;TEXT(IFERROR(INDEX(B352:B851,MATCH(A389,A352:A851,0)),0),"#,##0.0")&amp;" kg  Lote: "&amp;IFERROR(INDEX(C352:C851,MATCH(A389,A352:A851,0)),"?"),"")</f>
        <v/>
      </c>
      <c r="E389" s="32"/>
      <c r="F389" s="32"/>
      <c r="G389" s="32"/>
      <c r="H389" s="32"/>
    </row>
    <row r="390" spans="1:8" ht="16.5" customHeight="1" x14ac:dyDescent="0.25">
      <c r="A390" s="15"/>
      <c r="B390" s="16"/>
      <c r="C390" s="26"/>
      <c r="D390" s="33" t="str">
        <f t="shared" ref="D390" si="238">IF(AND(A390&lt;&gt;"",COUNTIF(A354:A853,A390)&gt;1),"⚠️ JÁ PESADO! Peso: "&amp;TEXT(IFERROR(INDEX(B354:B853,MATCH(A390,A354:A853,0)),0),"#,##0.0")&amp;" kg  Lote: "&amp;IFERROR(INDEX(C354:C853,MATCH(A390,A354:A853,0)),"?"),"")</f>
        <v/>
      </c>
      <c r="E390" s="33"/>
      <c r="F390" s="33"/>
      <c r="G390" s="33"/>
      <c r="H390" s="33"/>
    </row>
    <row r="391" spans="1:8" ht="16.5" customHeight="1" x14ac:dyDescent="0.25">
      <c r="A391" s="17"/>
      <c r="B391" s="18"/>
      <c r="C391" s="27"/>
      <c r="D391" s="32" t="str">
        <f t="shared" ref="D391" si="239">IF(AND(A391&lt;&gt;"",COUNTIF(A354:A853,A391)&gt;1),"⚠️ JÁ PESADO! Peso: "&amp;TEXT(IFERROR(INDEX(B354:B853,MATCH(A391,A354:A853,0)),0),"#,##0.0")&amp;" kg  Lote: "&amp;IFERROR(INDEX(C354:C853,MATCH(A391,A354:A853,0)),"?"),"")</f>
        <v/>
      </c>
      <c r="E391" s="32"/>
      <c r="F391" s="32"/>
      <c r="G391" s="32"/>
      <c r="H391" s="32"/>
    </row>
    <row r="392" spans="1:8" ht="16.5" customHeight="1" x14ac:dyDescent="0.25">
      <c r="A392" s="15"/>
      <c r="B392" s="16"/>
      <c r="C392" s="26"/>
      <c r="D392" s="33" t="str">
        <f t="shared" ref="D392" si="240">IF(AND(A392&lt;&gt;"",COUNTIF(A356:A855,A392)&gt;1),"⚠️ JÁ PESADO! Peso: "&amp;TEXT(IFERROR(INDEX(B356:B855,MATCH(A392,A356:A855,0)),0),"#,##0.0")&amp;" kg  Lote: "&amp;IFERROR(INDEX(C356:C855,MATCH(A392,A356:A855,0)),"?"),"")</f>
        <v/>
      </c>
      <c r="E392" s="33"/>
      <c r="F392" s="33"/>
      <c r="G392" s="33"/>
      <c r="H392" s="33"/>
    </row>
    <row r="393" spans="1:8" ht="16.5" customHeight="1" x14ac:dyDescent="0.25">
      <c r="A393" s="17"/>
      <c r="B393" s="18"/>
      <c r="C393" s="27"/>
      <c r="D393" s="32" t="str">
        <f t="shared" ref="D393" si="241">IF(AND(A393&lt;&gt;"",COUNTIF(A356:A855,A393)&gt;1),"⚠️ JÁ PESADO! Peso: "&amp;TEXT(IFERROR(INDEX(B356:B855,MATCH(A393,A356:A855,0)),0),"#,##0.0")&amp;" kg  Lote: "&amp;IFERROR(INDEX(C356:C855,MATCH(A393,A356:A855,0)),"?"),"")</f>
        <v/>
      </c>
      <c r="E393" s="32"/>
      <c r="F393" s="32"/>
      <c r="G393" s="32"/>
      <c r="H393" s="32"/>
    </row>
    <row r="394" spans="1:8" ht="16.5" customHeight="1" x14ac:dyDescent="0.25">
      <c r="A394" s="15"/>
      <c r="B394" s="16"/>
      <c r="C394" s="26"/>
      <c r="D394" s="33" t="str">
        <f t="shared" ref="D394" si="242">IF(AND(A394&lt;&gt;"",COUNTIF(A358:A857,A394)&gt;1),"⚠️ JÁ PESADO! Peso: "&amp;TEXT(IFERROR(INDEX(B358:B857,MATCH(A394,A358:A857,0)),0),"#,##0.0")&amp;" kg  Lote: "&amp;IFERROR(INDEX(C358:C857,MATCH(A394,A358:A857,0)),"?"),"")</f>
        <v/>
      </c>
      <c r="E394" s="33"/>
      <c r="F394" s="33"/>
      <c r="G394" s="33"/>
      <c r="H394" s="33"/>
    </row>
    <row r="395" spans="1:8" ht="16.5" customHeight="1" x14ac:dyDescent="0.25">
      <c r="A395" s="17"/>
      <c r="B395" s="18"/>
      <c r="C395" s="27"/>
      <c r="D395" s="32" t="str">
        <f t="shared" ref="D395" si="243">IF(AND(A395&lt;&gt;"",COUNTIF(A358:A857,A395)&gt;1),"⚠️ JÁ PESADO! Peso: "&amp;TEXT(IFERROR(INDEX(B358:B857,MATCH(A395,A358:A857,0)),0),"#,##0.0")&amp;" kg  Lote: "&amp;IFERROR(INDEX(C358:C857,MATCH(A395,A358:A857,0)),"?"),"")</f>
        <v/>
      </c>
      <c r="E395" s="32"/>
      <c r="F395" s="32"/>
      <c r="G395" s="32"/>
      <c r="H395" s="32"/>
    </row>
    <row r="396" spans="1:8" ht="16.5" customHeight="1" x14ac:dyDescent="0.25">
      <c r="A396" s="15"/>
      <c r="B396" s="16"/>
      <c r="C396" s="26"/>
      <c r="D396" s="33" t="str">
        <f t="shared" ref="D396" si="244">IF(AND(A396&lt;&gt;"",COUNTIF(A360:A859,A396)&gt;1),"⚠️ JÁ PESADO! Peso: "&amp;TEXT(IFERROR(INDEX(B360:B859,MATCH(A396,A360:A859,0)),0),"#,##0.0")&amp;" kg  Lote: "&amp;IFERROR(INDEX(C360:C859,MATCH(A396,A360:A859,0)),"?"),"")</f>
        <v/>
      </c>
      <c r="E396" s="33"/>
      <c r="F396" s="33"/>
      <c r="G396" s="33"/>
      <c r="H396" s="33"/>
    </row>
    <row r="397" spans="1:8" ht="16.5" customHeight="1" x14ac:dyDescent="0.25">
      <c r="A397" s="17"/>
      <c r="B397" s="18"/>
      <c r="C397" s="27"/>
      <c r="D397" s="32" t="str">
        <f t="shared" ref="D397" si="245">IF(AND(A397&lt;&gt;"",COUNTIF(A360:A859,A397)&gt;1),"⚠️ JÁ PESADO! Peso: "&amp;TEXT(IFERROR(INDEX(B360:B859,MATCH(A397,A360:A859,0)),0),"#,##0.0")&amp;" kg  Lote: "&amp;IFERROR(INDEX(C360:C859,MATCH(A397,A360:A859,0)),"?"),"")</f>
        <v/>
      </c>
      <c r="E397" s="32"/>
      <c r="F397" s="32"/>
      <c r="G397" s="32"/>
      <c r="H397" s="32"/>
    </row>
    <row r="398" spans="1:8" ht="16.5" customHeight="1" x14ac:dyDescent="0.25">
      <c r="A398" s="15"/>
      <c r="B398" s="16"/>
      <c r="C398" s="26"/>
      <c r="D398" s="33" t="str">
        <f t="shared" ref="D398" si="246">IF(AND(A398&lt;&gt;"",COUNTIF(A362:A861,A398)&gt;1),"⚠️ JÁ PESADO! Peso: "&amp;TEXT(IFERROR(INDEX(B362:B861,MATCH(A398,A362:A861,0)),0),"#,##0.0")&amp;" kg  Lote: "&amp;IFERROR(INDEX(C362:C861,MATCH(A398,A362:A861,0)),"?"),"")</f>
        <v/>
      </c>
      <c r="E398" s="33"/>
      <c r="F398" s="33"/>
      <c r="G398" s="33"/>
      <c r="H398" s="33"/>
    </row>
    <row r="399" spans="1:8" ht="16.5" customHeight="1" x14ac:dyDescent="0.25">
      <c r="A399" s="17"/>
      <c r="B399" s="18"/>
      <c r="C399" s="27"/>
      <c r="D399" s="32" t="str">
        <f t="shared" ref="D399" si="247">IF(AND(A399&lt;&gt;"",COUNTIF(A362:A861,A399)&gt;1),"⚠️ JÁ PESADO! Peso: "&amp;TEXT(IFERROR(INDEX(B362:B861,MATCH(A399,A362:A861,0)),0),"#,##0.0")&amp;" kg  Lote: "&amp;IFERROR(INDEX(C362:C861,MATCH(A399,A362:A861,0)),"?"),"")</f>
        <v/>
      </c>
      <c r="E399" s="32"/>
      <c r="F399" s="32"/>
      <c r="G399" s="32"/>
      <c r="H399" s="32"/>
    </row>
    <row r="400" spans="1:8" ht="16.5" customHeight="1" x14ac:dyDescent="0.25">
      <c r="A400" s="15"/>
      <c r="B400" s="16"/>
      <c r="C400" s="26"/>
      <c r="D400" s="33" t="str">
        <f t="shared" ref="D400" si="248">IF(AND(A400&lt;&gt;"",COUNTIF(A364:A863,A400)&gt;1),"⚠️ JÁ PESADO! Peso: "&amp;TEXT(IFERROR(INDEX(B364:B863,MATCH(A400,A364:A863,0)),0),"#,##0.0")&amp;" kg  Lote: "&amp;IFERROR(INDEX(C364:C863,MATCH(A400,A364:A863,0)),"?"),"")</f>
        <v/>
      </c>
      <c r="E400" s="33"/>
      <c r="F400" s="33"/>
      <c r="G400" s="33"/>
      <c r="H400" s="33"/>
    </row>
    <row r="401" spans="1:8" ht="16.5" customHeight="1" x14ac:dyDescent="0.25">
      <c r="A401" s="17"/>
      <c r="B401" s="18"/>
      <c r="C401" s="27"/>
      <c r="D401" s="32" t="str">
        <f t="shared" ref="D401" si="249">IF(AND(A401&lt;&gt;"",COUNTIF(A364:A863,A401)&gt;1),"⚠️ JÁ PESADO! Peso: "&amp;TEXT(IFERROR(INDEX(B364:B863,MATCH(A401,A364:A863,0)),0),"#,##0.0")&amp;" kg  Lote: "&amp;IFERROR(INDEX(C364:C863,MATCH(A401,A364:A863,0)),"?"),"")</f>
        <v/>
      </c>
      <c r="E401" s="32"/>
      <c r="F401" s="32"/>
      <c r="G401" s="32"/>
      <c r="H401" s="32"/>
    </row>
    <row r="402" spans="1:8" ht="16.5" customHeight="1" x14ac:dyDescent="0.25">
      <c r="A402" s="15"/>
      <c r="B402" s="16"/>
      <c r="C402" s="26"/>
      <c r="D402" s="33" t="str">
        <f t="shared" ref="D402" si="250">IF(AND(A402&lt;&gt;"",COUNTIF(A366:A865,A402)&gt;1),"⚠️ JÁ PESADO! Peso: "&amp;TEXT(IFERROR(INDEX(B366:B865,MATCH(A402,A366:A865,0)),0),"#,##0.0")&amp;" kg  Lote: "&amp;IFERROR(INDEX(C366:C865,MATCH(A402,A366:A865,0)),"?"),"")</f>
        <v/>
      </c>
      <c r="E402" s="33"/>
      <c r="F402" s="33"/>
      <c r="G402" s="33"/>
      <c r="H402" s="33"/>
    </row>
    <row r="403" spans="1:8" ht="16.5" customHeight="1" x14ac:dyDescent="0.25">
      <c r="A403" s="17"/>
      <c r="B403" s="18"/>
      <c r="C403" s="27"/>
      <c r="D403" s="32" t="str">
        <f t="shared" ref="D403" si="251">IF(AND(A403&lt;&gt;"",COUNTIF(A366:A865,A403)&gt;1),"⚠️ JÁ PESADO! Peso: "&amp;TEXT(IFERROR(INDEX(B366:B865,MATCH(A403,A366:A865,0)),0),"#,##0.0")&amp;" kg  Lote: "&amp;IFERROR(INDEX(C366:C865,MATCH(A403,A366:A865,0)),"?"),"")</f>
        <v/>
      </c>
      <c r="E403" s="32"/>
      <c r="F403" s="32"/>
      <c r="G403" s="32"/>
      <c r="H403" s="32"/>
    </row>
    <row r="404" spans="1:8" ht="16.5" customHeight="1" x14ac:dyDescent="0.25">
      <c r="A404" s="15"/>
      <c r="B404" s="16"/>
      <c r="C404" s="26"/>
      <c r="D404" s="33" t="str">
        <f t="shared" ref="D404" si="252">IF(AND(A404&lt;&gt;"",COUNTIF(A368:A867,A404)&gt;1),"⚠️ JÁ PESADO! Peso: "&amp;TEXT(IFERROR(INDEX(B368:B867,MATCH(A404,A368:A867,0)),0),"#,##0.0")&amp;" kg  Lote: "&amp;IFERROR(INDEX(C368:C867,MATCH(A404,A368:A867,0)),"?"),"")</f>
        <v/>
      </c>
      <c r="E404" s="33"/>
      <c r="F404" s="33"/>
      <c r="G404" s="33"/>
      <c r="H404" s="33"/>
    </row>
    <row r="405" spans="1:8" ht="16.5" customHeight="1" x14ac:dyDescent="0.25">
      <c r="A405" s="17"/>
      <c r="B405" s="18"/>
      <c r="C405" s="27"/>
      <c r="D405" s="32" t="str">
        <f t="shared" ref="D405" si="253">IF(AND(A405&lt;&gt;"",COUNTIF(A368:A867,A405)&gt;1),"⚠️ JÁ PESADO! Peso: "&amp;TEXT(IFERROR(INDEX(B368:B867,MATCH(A405,A368:A867,0)),0),"#,##0.0")&amp;" kg  Lote: "&amp;IFERROR(INDEX(C368:C867,MATCH(A405,A368:A867,0)),"?"),"")</f>
        <v/>
      </c>
      <c r="E405" s="32"/>
      <c r="F405" s="32"/>
      <c r="G405" s="32"/>
      <c r="H405" s="32"/>
    </row>
    <row r="406" spans="1:8" ht="16.5" customHeight="1" x14ac:dyDescent="0.25">
      <c r="A406" s="15"/>
      <c r="B406" s="16"/>
      <c r="C406" s="26"/>
      <c r="D406" s="33" t="str">
        <f t="shared" ref="D406" si="254">IF(AND(A406&lt;&gt;"",COUNTIF(A370:A869,A406)&gt;1),"⚠️ JÁ PESADO! Peso: "&amp;TEXT(IFERROR(INDEX(B370:B869,MATCH(A406,A370:A869,0)),0),"#,##0.0")&amp;" kg  Lote: "&amp;IFERROR(INDEX(C370:C869,MATCH(A406,A370:A869,0)),"?"),"")</f>
        <v/>
      </c>
      <c r="E406" s="33"/>
      <c r="F406" s="33"/>
      <c r="G406" s="33"/>
      <c r="H406" s="33"/>
    </row>
    <row r="407" spans="1:8" ht="16.5" customHeight="1" x14ac:dyDescent="0.25">
      <c r="A407" s="17"/>
      <c r="B407" s="18"/>
      <c r="C407" s="27"/>
      <c r="D407" s="32" t="str">
        <f t="shared" ref="D407" si="255">IF(AND(A407&lt;&gt;"",COUNTIF(A370:A869,A407)&gt;1),"⚠️ JÁ PESADO! Peso: "&amp;TEXT(IFERROR(INDEX(B370:B869,MATCH(A407,A370:A869,0)),0),"#,##0.0")&amp;" kg  Lote: "&amp;IFERROR(INDEX(C370:C869,MATCH(A407,A370:A869,0)),"?"),"")</f>
        <v/>
      </c>
      <c r="E407" s="32"/>
      <c r="F407" s="32"/>
      <c r="G407" s="32"/>
      <c r="H407" s="32"/>
    </row>
    <row r="408" spans="1:8" ht="16.5" customHeight="1" x14ac:dyDescent="0.25">
      <c r="A408" s="15"/>
      <c r="B408" s="16"/>
      <c r="C408" s="26"/>
      <c r="D408" s="33" t="str">
        <f t="shared" ref="D408" si="256">IF(AND(A408&lt;&gt;"",COUNTIF(A372:A871,A408)&gt;1),"⚠️ JÁ PESADO! Peso: "&amp;TEXT(IFERROR(INDEX(B372:B871,MATCH(A408,A372:A871,0)),0),"#,##0.0")&amp;" kg  Lote: "&amp;IFERROR(INDEX(C372:C871,MATCH(A408,A372:A871,0)),"?"),"")</f>
        <v/>
      </c>
      <c r="E408" s="33"/>
      <c r="F408" s="33"/>
      <c r="G408" s="33"/>
      <c r="H408" s="33"/>
    </row>
    <row r="409" spans="1:8" ht="16.5" customHeight="1" x14ac:dyDescent="0.25">
      <c r="A409" s="17"/>
      <c r="B409" s="18"/>
      <c r="C409" s="27"/>
      <c r="D409" s="32" t="str">
        <f t="shared" ref="D409" si="257">IF(AND(A409&lt;&gt;"",COUNTIF(A372:A871,A409)&gt;1),"⚠️ JÁ PESADO! Peso: "&amp;TEXT(IFERROR(INDEX(B372:B871,MATCH(A409,A372:A871,0)),0),"#,##0.0")&amp;" kg  Lote: "&amp;IFERROR(INDEX(C372:C871,MATCH(A409,A372:A871,0)),"?"),"")</f>
        <v/>
      </c>
      <c r="E409" s="32"/>
      <c r="F409" s="32"/>
      <c r="G409" s="32"/>
      <c r="H409" s="32"/>
    </row>
    <row r="410" spans="1:8" ht="16.5" customHeight="1" x14ac:dyDescent="0.25">
      <c r="A410" s="15"/>
      <c r="B410" s="16"/>
      <c r="C410" s="26"/>
      <c r="D410" s="33" t="str">
        <f t="shared" ref="D410" si="258">IF(AND(A410&lt;&gt;"",COUNTIF(A374:A873,A410)&gt;1),"⚠️ JÁ PESADO! Peso: "&amp;TEXT(IFERROR(INDEX(B374:B873,MATCH(A410,A374:A873,0)),0),"#,##0.0")&amp;" kg  Lote: "&amp;IFERROR(INDEX(C374:C873,MATCH(A410,A374:A873,0)),"?"),"")</f>
        <v/>
      </c>
      <c r="E410" s="33"/>
      <c r="F410" s="33"/>
      <c r="G410" s="33"/>
      <c r="H410" s="33"/>
    </row>
    <row r="411" spans="1:8" ht="16.5" customHeight="1" x14ac:dyDescent="0.25">
      <c r="A411" s="17"/>
      <c r="B411" s="18"/>
      <c r="C411" s="27"/>
      <c r="D411" s="32" t="str">
        <f t="shared" ref="D411" si="259">IF(AND(A411&lt;&gt;"",COUNTIF(A374:A873,A411)&gt;1),"⚠️ JÁ PESADO! Peso: "&amp;TEXT(IFERROR(INDEX(B374:B873,MATCH(A411,A374:A873,0)),0),"#,##0.0")&amp;" kg  Lote: "&amp;IFERROR(INDEX(C374:C873,MATCH(A411,A374:A873,0)),"?"),"")</f>
        <v/>
      </c>
      <c r="E411" s="32"/>
      <c r="F411" s="32"/>
      <c r="G411" s="32"/>
      <c r="H411" s="32"/>
    </row>
    <row r="412" spans="1:8" ht="16.5" customHeight="1" x14ac:dyDescent="0.25">
      <c r="A412" s="15"/>
      <c r="B412" s="16"/>
      <c r="C412" s="26"/>
      <c r="D412" s="33" t="str">
        <f t="shared" ref="D412" si="260">IF(AND(A412&lt;&gt;"",COUNTIF(A376:A875,A412)&gt;1),"⚠️ JÁ PESADO! Peso: "&amp;TEXT(IFERROR(INDEX(B376:B875,MATCH(A412,A376:A875,0)),0),"#,##0.0")&amp;" kg  Lote: "&amp;IFERROR(INDEX(C376:C875,MATCH(A412,A376:A875,0)),"?"),"")</f>
        <v/>
      </c>
      <c r="E412" s="33"/>
      <c r="F412" s="33"/>
      <c r="G412" s="33"/>
      <c r="H412" s="33"/>
    </row>
    <row r="413" spans="1:8" ht="16.5" customHeight="1" x14ac:dyDescent="0.25">
      <c r="A413" s="17"/>
      <c r="B413" s="18"/>
      <c r="C413" s="27"/>
      <c r="D413" s="32" t="str">
        <f t="shared" ref="D413" si="261">IF(AND(A413&lt;&gt;"",COUNTIF(A376:A875,A413)&gt;1),"⚠️ JÁ PESADO! Peso: "&amp;TEXT(IFERROR(INDEX(B376:B875,MATCH(A413,A376:A875,0)),0),"#,##0.0")&amp;" kg  Lote: "&amp;IFERROR(INDEX(C376:C875,MATCH(A413,A376:A875,0)),"?"),"")</f>
        <v/>
      </c>
      <c r="E413" s="32"/>
      <c r="F413" s="32"/>
      <c r="G413" s="32"/>
      <c r="H413" s="32"/>
    </row>
    <row r="414" spans="1:8" ht="16.5" customHeight="1" x14ac:dyDescent="0.25">
      <c r="A414" s="15"/>
      <c r="B414" s="16"/>
      <c r="C414" s="26"/>
      <c r="D414" s="33" t="str">
        <f t="shared" ref="D414" si="262">IF(AND(A414&lt;&gt;"",COUNTIF(A378:A877,A414)&gt;1),"⚠️ JÁ PESADO! Peso: "&amp;TEXT(IFERROR(INDEX(B378:B877,MATCH(A414,A378:A877,0)),0),"#,##0.0")&amp;" kg  Lote: "&amp;IFERROR(INDEX(C378:C877,MATCH(A414,A378:A877,0)),"?"),"")</f>
        <v/>
      </c>
      <c r="E414" s="33"/>
      <c r="F414" s="33"/>
      <c r="G414" s="33"/>
      <c r="H414" s="33"/>
    </row>
    <row r="415" spans="1:8" ht="16.5" customHeight="1" x14ac:dyDescent="0.25">
      <c r="A415" s="17"/>
      <c r="B415" s="18"/>
      <c r="C415" s="27"/>
      <c r="D415" s="32" t="str">
        <f t="shared" ref="D415" si="263">IF(AND(A415&lt;&gt;"",COUNTIF(A378:A877,A415)&gt;1),"⚠️ JÁ PESADO! Peso: "&amp;TEXT(IFERROR(INDEX(B378:B877,MATCH(A415,A378:A877,0)),0),"#,##0.0")&amp;" kg  Lote: "&amp;IFERROR(INDEX(C378:C877,MATCH(A415,A378:A877,0)),"?"),"")</f>
        <v/>
      </c>
      <c r="E415" s="32"/>
      <c r="F415" s="32"/>
      <c r="G415" s="32"/>
      <c r="H415" s="32"/>
    </row>
    <row r="416" spans="1:8" ht="16.5" customHeight="1" x14ac:dyDescent="0.25">
      <c r="A416" s="15"/>
      <c r="B416" s="16"/>
      <c r="C416" s="26"/>
      <c r="D416" s="33" t="str">
        <f t="shared" ref="D416" si="264">IF(AND(A416&lt;&gt;"",COUNTIF(A380:A879,A416)&gt;1),"⚠️ JÁ PESADO! Peso: "&amp;TEXT(IFERROR(INDEX(B380:B879,MATCH(A416,A380:A879,0)),0),"#,##0.0")&amp;" kg  Lote: "&amp;IFERROR(INDEX(C380:C879,MATCH(A416,A380:A879,0)),"?"),"")</f>
        <v/>
      </c>
      <c r="E416" s="33"/>
      <c r="F416" s="33"/>
      <c r="G416" s="33"/>
      <c r="H416" s="33"/>
    </row>
    <row r="417" spans="1:8" ht="16.5" customHeight="1" x14ac:dyDescent="0.25">
      <c r="A417" s="17"/>
      <c r="B417" s="18"/>
      <c r="C417" s="27"/>
      <c r="D417" s="32" t="str">
        <f t="shared" ref="D417" si="265">IF(AND(A417&lt;&gt;"",COUNTIF(A380:A879,A417)&gt;1),"⚠️ JÁ PESADO! Peso: "&amp;TEXT(IFERROR(INDEX(B380:B879,MATCH(A417,A380:A879,0)),0),"#,##0.0")&amp;" kg  Lote: "&amp;IFERROR(INDEX(C380:C879,MATCH(A417,A380:A879,0)),"?"),"")</f>
        <v/>
      </c>
      <c r="E417" s="32"/>
      <c r="F417" s="32"/>
      <c r="G417" s="32"/>
      <c r="H417" s="32"/>
    </row>
    <row r="418" spans="1:8" ht="16.5" customHeight="1" x14ac:dyDescent="0.25">
      <c r="A418" s="15"/>
      <c r="B418" s="16"/>
      <c r="C418" s="26"/>
      <c r="D418" s="33" t="str">
        <f t="shared" ref="D418" si="266">IF(AND(A418&lt;&gt;"",COUNTIF(A382:A881,A418)&gt;1),"⚠️ JÁ PESADO! Peso: "&amp;TEXT(IFERROR(INDEX(B382:B881,MATCH(A418,A382:A881,0)),0),"#,##0.0")&amp;" kg  Lote: "&amp;IFERROR(INDEX(C382:C881,MATCH(A418,A382:A881,0)),"?"),"")</f>
        <v/>
      </c>
      <c r="E418" s="33"/>
      <c r="F418" s="33"/>
      <c r="G418" s="33"/>
      <c r="H418" s="33"/>
    </row>
    <row r="419" spans="1:8" ht="16.5" customHeight="1" x14ac:dyDescent="0.25">
      <c r="A419" s="17"/>
      <c r="B419" s="18"/>
      <c r="C419" s="27"/>
      <c r="D419" s="32" t="str">
        <f t="shared" ref="D419" si="267">IF(AND(A419&lt;&gt;"",COUNTIF(A382:A881,A419)&gt;1),"⚠️ JÁ PESADO! Peso: "&amp;TEXT(IFERROR(INDEX(B382:B881,MATCH(A419,A382:A881,0)),0),"#,##0.0")&amp;" kg  Lote: "&amp;IFERROR(INDEX(C382:C881,MATCH(A419,A382:A881,0)),"?"),"")</f>
        <v/>
      </c>
      <c r="E419" s="32"/>
      <c r="F419" s="32"/>
      <c r="G419" s="32"/>
      <c r="H419" s="32"/>
    </row>
    <row r="420" spans="1:8" ht="16.5" customHeight="1" x14ac:dyDescent="0.25">
      <c r="A420" s="15"/>
      <c r="B420" s="16"/>
      <c r="C420" s="26"/>
      <c r="D420" s="33" t="str">
        <f t="shared" ref="D420" si="268">IF(AND(A420&lt;&gt;"",COUNTIF(A384:A883,A420)&gt;1),"⚠️ JÁ PESADO! Peso: "&amp;TEXT(IFERROR(INDEX(B384:B883,MATCH(A420,A384:A883,0)),0),"#,##0.0")&amp;" kg  Lote: "&amp;IFERROR(INDEX(C384:C883,MATCH(A420,A384:A883,0)),"?"),"")</f>
        <v/>
      </c>
      <c r="E420" s="33"/>
      <c r="F420" s="33"/>
      <c r="G420" s="33"/>
      <c r="H420" s="33"/>
    </row>
    <row r="421" spans="1:8" ht="16.5" customHeight="1" x14ac:dyDescent="0.25">
      <c r="A421" s="17"/>
      <c r="B421" s="18"/>
      <c r="C421" s="27"/>
      <c r="D421" s="32" t="str">
        <f t="shared" ref="D421" si="269">IF(AND(A421&lt;&gt;"",COUNTIF(A384:A883,A421)&gt;1),"⚠️ JÁ PESADO! Peso: "&amp;TEXT(IFERROR(INDEX(B384:B883,MATCH(A421,A384:A883,0)),0),"#,##0.0")&amp;" kg  Lote: "&amp;IFERROR(INDEX(C384:C883,MATCH(A421,A384:A883,0)),"?"),"")</f>
        <v/>
      </c>
      <c r="E421" s="32"/>
      <c r="F421" s="32"/>
      <c r="G421" s="32"/>
      <c r="H421" s="32"/>
    </row>
    <row r="422" spans="1:8" ht="16.5" customHeight="1" x14ac:dyDescent="0.25">
      <c r="A422" s="15"/>
      <c r="B422" s="16"/>
      <c r="C422" s="26"/>
      <c r="D422" s="33" t="str">
        <f t="shared" ref="D422" si="270">IF(AND(A422&lt;&gt;"",COUNTIF(A386:A885,A422)&gt;1),"⚠️ JÁ PESADO! Peso: "&amp;TEXT(IFERROR(INDEX(B386:B885,MATCH(A422,A386:A885,0)),0),"#,##0.0")&amp;" kg  Lote: "&amp;IFERROR(INDEX(C386:C885,MATCH(A422,A386:A885,0)),"?"),"")</f>
        <v/>
      </c>
      <c r="E422" s="33"/>
      <c r="F422" s="33"/>
      <c r="G422" s="33"/>
      <c r="H422" s="33"/>
    </row>
    <row r="423" spans="1:8" ht="16.5" customHeight="1" x14ac:dyDescent="0.25">
      <c r="A423" s="17"/>
      <c r="B423" s="18"/>
      <c r="C423" s="27"/>
      <c r="D423" s="32" t="str">
        <f t="shared" ref="D423" si="271">IF(AND(A423&lt;&gt;"",COUNTIF(A386:A885,A423)&gt;1),"⚠️ JÁ PESADO! Peso: "&amp;TEXT(IFERROR(INDEX(B386:B885,MATCH(A423,A386:A885,0)),0),"#,##0.0")&amp;" kg  Lote: "&amp;IFERROR(INDEX(C386:C885,MATCH(A423,A386:A885,0)),"?"),"")</f>
        <v/>
      </c>
      <c r="E423" s="32"/>
      <c r="F423" s="32"/>
      <c r="G423" s="32"/>
      <c r="H423" s="32"/>
    </row>
    <row r="424" spans="1:8" ht="16.5" customHeight="1" x14ac:dyDescent="0.25">
      <c r="A424" s="15"/>
      <c r="B424" s="16"/>
      <c r="C424" s="26"/>
      <c r="D424" s="33" t="str">
        <f t="shared" ref="D424" si="272">IF(AND(A424&lt;&gt;"",COUNTIF(A388:A887,A424)&gt;1),"⚠️ JÁ PESADO! Peso: "&amp;TEXT(IFERROR(INDEX(B388:B887,MATCH(A424,A388:A887,0)),0),"#,##0.0")&amp;" kg  Lote: "&amp;IFERROR(INDEX(C388:C887,MATCH(A424,A388:A887,0)),"?"),"")</f>
        <v/>
      </c>
      <c r="E424" s="33"/>
      <c r="F424" s="33"/>
      <c r="G424" s="33"/>
      <c r="H424" s="33"/>
    </row>
    <row r="425" spans="1:8" ht="16.5" customHeight="1" x14ac:dyDescent="0.25">
      <c r="A425" s="17"/>
      <c r="B425" s="18"/>
      <c r="C425" s="27"/>
      <c r="D425" s="32" t="str">
        <f t="shared" ref="D425" si="273">IF(AND(A425&lt;&gt;"",COUNTIF(A388:A887,A425)&gt;1),"⚠️ JÁ PESADO! Peso: "&amp;TEXT(IFERROR(INDEX(B388:B887,MATCH(A425,A388:A887,0)),0),"#,##0.0")&amp;" kg  Lote: "&amp;IFERROR(INDEX(C388:C887,MATCH(A425,A388:A887,0)),"?"),"")</f>
        <v/>
      </c>
      <c r="E425" s="32"/>
      <c r="F425" s="32"/>
      <c r="G425" s="32"/>
      <c r="H425" s="32"/>
    </row>
    <row r="426" spans="1:8" ht="16.5" customHeight="1" x14ac:dyDescent="0.25">
      <c r="A426" s="15"/>
      <c r="B426" s="16"/>
      <c r="C426" s="26"/>
      <c r="D426" s="33" t="str">
        <f t="shared" ref="D426" si="274">IF(AND(A426&lt;&gt;"",COUNTIF(A390:A889,A426)&gt;1),"⚠️ JÁ PESADO! Peso: "&amp;TEXT(IFERROR(INDEX(B390:B889,MATCH(A426,A390:A889,0)),0),"#,##0.0")&amp;" kg  Lote: "&amp;IFERROR(INDEX(C390:C889,MATCH(A426,A390:A889,0)),"?"),"")</f>
        <v/>
      </c>
      <c r="E426" s="33"/>
      <c r="F426" s="33"/>
      <c r="G426" s="33"/>
      <c r="H426" s="33"/>
    </row>
    <row r="427" spans="1:8" ht="16.5" customHeight="1" x14ac:dyDescent="0.25">
      <c r="A427" s="17"/>
      <c r="B427" s="18"/>
      <c r="C427" s="27"/>
      <c r="D427" s="32" t="str">
        <f t="shared" ref="D427" si="275">IF(AND(A427&lt;&gt;"",COUNTIF(A390:A889,A427)&gt;1),"⚠️ JÁ PESADO! Peso: "&amp;TEXT(IFERROR(INDEX(B390:B889,MATCH(A427,A390:A889,0)),0),"#,##0.0")&amp;" kg  Lote: "&amp;IFERROR(INDEX(C390:C889,MATCH(A427,A390:A889,0)),"?"),"")</f>
        <v/>
      </c>
      <c r="E427" s="32"/>
      <c r="F427" s="32"/>
      <c r="G427" s="32"/>
      <c r="H427" s="32"/>
    </row>
    <row r="428" spans="1:8" ht="16.5" customHeight="1" x14ac:dyDescent="0.25">
      <c r="A428" s="15"/>
      <c r="B428" s="16"/>
      <c r="C428" s="26"/>
      <c r="D428" s="33" t="str">
        <f t="shared" ref="D428" si="276">IF(AND(A428&lt;&gt;"",COUNTIF(A392:A891,A428)&gt;1),"⚠️ JÁ PESADO! Peso: "&amp;TEXT(IFERROR(INDEX(B392:B891,MATCH(A428,A392:A891,0)),0),"#,##0.0")&amp;" kg  Lote: "&amp;IFERROR(INDEX(C392:C891,MATCH(A428,A392:A891,0)),"?"),"")</f>
        <v/>
      </c>
      <c r="E428" s="33"/>
      <c r="F428" s="33"/>
      <c r="G428" s="33"/>
      <c r="H428" s="33"/>
    </row>
    <row r="429" spans="1:8" ht="16.5" customHeight="1" x14ac:dyDescent="0.25">
      <c r="A429" s="17"/>
      <c r="B429" s="18"/>
      <c r="C429" s="27"/>
      <c r="D429" s="32" t="str">
        <f t="shared" ref="D429" si="277">IF(AND(A429&lt;&gt;"",COUNTIF(A392:A891,A429)&gt;1),"⚠️ JÁ PESADO! Peso: "&amp;TEXT(IFERROR(INDEX(B392:B891,MATCH(A429,A392:A891,0)),0),"#,##0.0")&amp;" kg  Lote: "&amp;IFERROR(INDEX(C392:C891,MATCH(A429,A392:A891,0)),"?"),"")</f>
        <v/>
      </c>
      <c r="E429" s="32"/>
      <c r="F429" s="32"/>
      <c r="G429" s="32"/>
      <c r="H429" s="32"/>
    </row>
    <row r="430" spans="1:8" ht="16.5" customHeight="1" x14ac:dyDescent="0.25">
      <c r="A430" s="15"/>
      <c r="B430" s="16"/>
      <c r="C430" s="26"/>
      <c r="D430" s="33" t="str">
        <f t="shared" ref="D430" si="278">IF(AND(A430&lt;&gt;"",COUNTIF(A394:A893,A430)&gt;1),"⚠️ JÁ PESADO! Peso: "&amp;TEXT(IFERROR(INDEX(B394:B893,MATCH(A430,A394:A893,0)),0),"#,##0.0")&amp;" kg  Lote: "&amp;IFERROR(INDEX(C394:C893,MATCH(A430,A394:A893,0)),"?"),"")</f>
        <v/>
      </c>
      <c r="E430" s="33"/>
      <c r="F430" s="33"/>
      <c r="G430" s="33"/>
      <c r="H430" s="33"/>
    </row>
    <row r="431" spans="1:8" ht="16.5" customHeight="1" x14ac:dyDescent="0.25">
      <c r="A431" s="17"/>
      <c r="B431" s="18"/>
      <c r="C431" s="27"/>
      <c r="D431" s="32" t="str">
        <f t="shared" ref="D431" si="279">IF(AND(A431&lt;&gt;"",COUNTIF(A394:A893,A431)&gt;1),"⚠️ JÁ PESADO! Peso: "&amp;TEXT(IFERROR(INDEX(B394:B893,MATCH(A431,A394:A893,0)),0),"#,##0.0")&amp;" kg  Lote: "&amp;IFERROR(INDEX(C394:C893,MATCH(A431,A394:A893,0)),"?"),"")</f>
        <v/>
      </c>
      <c r="E431" s="32"/>
      <c r="F431" s="32"/>
      <c r="G431" s="32"/>
      <c r="H431" s="32"/>
    </row>
    <row r="432" spans="1:8" ht="16.5" customHeight="1" x14ac:dyDescent="0.25">
      <c r="A432" s="15"/>
      <c r="B432" s="16"/>
      <c r="C432" s="26"/>
      <c r="D432" s="33" t="str">
        <f t="shared" ref="D432" si="280">IF(AND(A432&lt;&gt;"",COUNTIF(A396:A895,A432)&gt;1),"⚠️ JÁ PESADO! Peso: "&amp;TEXT(IFERROR(INDEX(B396:B895,MATCH(A432,A396:A895,0)),0),"#,##0.0")&amp;" kg  Lote: "&amp;IFERROR(INDEX(C396:C895,MATCH(A432,A396:A895,0)),"?"),"")</f>
        <v/>
      </c>
      <c r="E432" s="33"/>
      <c r="F432" s="33"/>
      <c r="G432" s="33"/>
      <c r="H432" s="33"/>
    </row>
    <row r="433" spans="1:8" ht="16.5" customHeight="1" x14ac:dyDescent="0.25">
      <c r="A433" s="17"/>
      <c r="B433" s="18"/>
      <c r="C433" s="27"/>
      <c r="D433" s="32" t="str">
        <f t="shared" ref="D433" si="281">IF(AND(A433&lt;&gt;"",COUNTIF(A396:A895,A433)&gt;1),"⚠️ JÁ PESADO! Peso: "&amp;TEXT(IFERROR(INDEX(B396:B895,MATCH(A433,A396:A895,0)),0),"#,##0.0")&amp;" kg  Lote: "&amp;IFERROR(INDEX(C396:C895,MATCH(A433,A396:A895,0)),"?"),"")</f>
        <v/>
      </c>
      <c r="E433" s="32"/>
      <c r="F433" s="32"/>
      <c r="G433" s="32"/>
      <c r="H433" s="32"/>
    </row>
    <row r="434" spans="1:8" ht="16.5" customHeight="1" x14ac:dyDescent="0.25">
      <c r="A434" s="15"/>
      <c r="B434" s="16"/>
      <c r="C434" s="26"/>
      <c r="D434" s="33" t="str">
        <f t="shared" ref="D434" si="282">IF(AND(A434&lt;&gt;"",COUNTIF(A398:A897,A434)&gt;1),"⚠️ JÁ PESADO! Peso: "&amp;TEXT(IFERROR(INDEX(B398:B897,MATCH(A434,A398:A897,0)),0),"#,##0.0")&amp;" kg  Lote: "&amp;IFERROR(INDEX(C398:C897,MATCH(A434,A398:A897,0)),"?"),"")</f>
        <v/>
      </c>
      <c r="E434" s="33"/>
      <c r="F434" s="33"/>
      <c r="G434" s="33"/>
      <c r="H434" s="33"/>
    </row>
    <row r="435" spans="1:8" ht="16.5" customHeight="1" x14ac:dyDescent="0.25">
      <c r="A435" s="17"/>
      <c r="B435" s="18"/>
      <c r="C435" s="27"/>
      <c r="D435" s="32" t="str">
        <f t="shared" ref="D435" si="283">IF(AND(A435&lt;&gt;"",COUNTIF(A398:A897,A435)&gt;1),"⚠️ JÁ PESADO! Peso: "&amp;TEXT(IFERROR(INDEX(B398:B897,MATCH(A435,A398:A897,0)),0),"#,##0.0")&amp;" kg  Lote: "&amp;IFERROR(INDEX(C398:C897,MATCH(A435,A398:A897,0)),"?"),"")</f>
        <v/>
      </c>
      <c r="E435" s="32"/>
      <c r="F435" s="32"/>
      <c r="G435" s="32"/>
      <c r="H435" s="32"/>
    </row>
    <row r="436" spans="1:8" ht="16.5" customHeight="1" x14ac:dyDescent="0.25">
      <c r="A436" s="15"/>
      <c r="B436" s="16"/>
      <c r="C436" s="26"/>
      <c r="D436" s="33" t="str">
        <f t="shared" ref="D436" si="284">IF(AND(A436&lt;&gt;"",COUNTIF(A400:A899,A436)&gt;1),"⚠️ JÁ PESADO! Peso: "&amp;TEXT(IFERROR(INDEX(B400:B899,MATCH(A436,A400:A899,0)),0),"#,##0.0")&amp;" kg  Lote: "&amp;IFERROR(INDEX(C400:C899,MATCH(A436,A400:A899,0)),"?"),"")</f>
        <v/>
      </c>
      <c r="E436" s="33"/>
      <c r="F436" s="33"/>
      <c r="G436" s="33"/>
      <c r="H436" s="33"/>
    </row>
    <row r="437" spans="1:8" ht="16.5" customHeight="1" x14ac:dyDescent="0.25">
      <c r="A437" s="17"/>
      <c r="B437" s="18"/>
      <c r="C437" s="27"/>
      <c r="D437" s="32" t="str">
        <f t="shared" ref="D437" si="285">IF(AND(A437&lt;&gt;"",COUNTIF(A400:A899,A437)&gt;1),"⚠️ JÁ PESADO! Peso: "&amp;TEXT(IFERROR(INDEX(B400:B899,MATCH(A437,A400:A899,0)),0),"#,##0.0")&amp;" kg  Lote: "&amp;IFERROR(INDEX(C400:C899,MATCH(A437,A400:A899,0)),"?"),"")</f>
        <v/>
      </c>
      <c r="E437" s="32"/>
      <c r="F437" s="32"/>
      <c r="G437" s="32"/>
      <c r="H437" s="32"/>
    </row>
    <row r="438" spans="1:8" ht="16.5" customHeight="1" x14ac:dyDescent="0.25">
      <c r="A438" s="15"/>
      <c r="B438" s="16"/>
      <c r="C438" s="26"/>
      <c r="D438" s="33" t="str">
        <f t="shared" ref="D438" si="286">IF(AND(A438&lt;&gt;"",COUNTIF(A402:A901,A438)&gt;1),"⚠️ JÁ PESADO! Peso: "&amp;TEXT(IFERROR(INDEX(B402:B901,MATCH(A438,A402:A901,0)),0),"#,##0.0")&amp;" kg  Lote: "&amp;IFERROR(INDEX(C402:C901,MATCH(A438,A402:A901,0)),"?"),"")</f>
        <v/>
      </c>
      <c r="E438" s="33"/>
      <c r="F438" s="33"/>
      <c r="G438" s="33"/>
      <c r="H438" s="33"/>
    </row>
    <row r="439" spans="1:8" ht="16.5" customHeight="1" x14ac:dyDescent="0.25">
      <c r="A439" s="17"/>
      <c r="B439" s="18"/>
      <c r="C439" s="27"/>
      <c r="D439" s="32" t="str">
        <f t="shared" ref="D439" si="287">IF(AND(A439&lt;&gt;"",COUNTIF(A402:A901,A439)&gt;1),"⚠️ JÁ PESADO! Peso: "&amp;TEXT(IFERROR(INDEX(B402:B901,MATCH(A439,A402:A901,0)),0),"#,##0.0")&amp;" kg  Lote: "&amp;IFERROR(INDEX(C402:C901,MATCH(A439,A402:A901,0)),"?"),"")</f>
        <v/>
      </c>
      <c r="E439" s="32"/>
      <c r="F439" s="32"/>
      <c r="G439" s="32"/>
      <c r="H439" s="32"/>
    </row>
    <row r="440" spans="1:8" ht="16.5" customHeight="1" x14ac:dyDescent="0.25">
      <c r="A440" s="15"/>
      <c r="B440" s="16"/>
      <c r="C440" s="26"/>
      <c r="D440" s="33" t="str">
        <f t="shared" ref="D440" si="288">IF(AND(A440&lt;&gt;"",COUNTIF(A404:A903,A440)&gt;1),"⚠️ JÁ PESADO! Peso: "&amp;TEXT(IFERROR(INDEX(B404:B903,MATCH(A440,A404:A903,0)),0),"#,##0.0")&amp;" kg  Lote: "&amp;IFERROR(INDEX(C404:C903,MATCH(A440,A404:A903,0)),"?"),"")</f>
        <v/>
      </c>
      <c r="E440" s="33"/>
      <c r="F440" s="33"/>
      <c r="G440" s="33"/>
      <c r="H440" s="33"/>
    </row>
    <row r="441" spans="1:8" ht="16.5" customHeight="1" x14ac:dyDescent="0.25">
      <c r="A441" s="17"/>
      <c r="B441" s="18"/>
      <c r="C441" s="27"/>
      <c r="D441" s="32" t="str">
        <f t="shared" ref="D441" si="289">IF(AND(A441&lt;&gt;"",COUNTIF(A404:A903,A441)&gt;1),"⚠️ JÁ PESADO! Peso: "&amp;TEXT(IFERROR(INDEX(B404:B903,MATCH(A441,A404:A903,0)),0),"#,##0.0")&amp;" kg  Lote: "&amp;IFERROR(INDEX(C404:C903,MATCH(A441,A404:A903,0)),"?"),"")</f>
        <v/>
      </c>
      <c r="E441" s="32"/>
      <c r="F441" s="32"/>
      <c r="G441" s="32"/>
      <c r="H441" s="32"/>
    </row>
    <row r="442" spans="1:8" ht="16.5" customHeight="1" x14ac:dyDescent="0.25">
      <c r="A442" s="15"/>
      <c r="B442" s="16"/>
      <c r="C442" s="26"/>
      <c r="D442" s="33" t="str">
        <f t="shared" ref="D442" si="290">IF(AND(A442&lt;&gt;"",COUNTIF(A406:A905,A442)&gt;1),"⚠️ JÁ PESADO! Peso: "&amp;TEXT(IFERROR(INDEX(B406:B905,MATCH(A442,A406:A905,0)),0),"#,##0.0")&amp;" kg  Lote: "&amp;IFERROR(INDEX(C406:C905,MATCH(A442,A406:A905,0)),"?"),"")</f>
        <v/>
      </c>
      <c r="E442" s="33"/>
      <c r="F442" s="33"/>
      <c r="G442" s="33"/>
      <c r="H442" s="33"/>
    </row>
    <row r="443" spans="1:8" ht="16.5" customHeight="1" x14ac:dyDescent="0.25">
      <c r="A443" s="17"/>
      <c r="B443" s="18"/>
      <c r="C443" s="27"/>
      <c r="D443" s="32" t="str">
        <f t="shared" ref="D443" si="291">IF(AND(A443&lt;&gt;"",COUNTIF(A406:A905,A443)&gt;1),"⚠️ JÁ PESADO! Peso: "&amp;TEXT(IFERROR(INDEX(B406:B905,MATCH(A443,A406:A905,0)),0),"#,##0.0")&amp;" kg  Lote: "&amp;IFERROR(INDEX(C406:C905,MATCH(A443,A406:A905,0)),"?"),"")</f>
        <v/>
      </c>
      <c r="E443" s="32"/>
      <c r="F443" s="32"/>
      <c r="G443" s="32"/>
      <c r="H443" s="32"/>
    </row>
    <row r="444" spans="1:8" ht="16.5" customHeight="1" x14ac:dyDescent="0.25">
      <c r="A444" s="15"/>
      <c r="B444" s="16"/>
      <c r="C444" s="26"/>
      <c r="D444" s="33" t="str">
        <f t="shared" ref="D444" si="292">IF(AND(A444&lt;&gt;"",COUNTIF(A408:A907,A444)&gt;1),"⚠️ JÁ PESADO! Peso: "&amp;TEXT(IFERROR(INDEX(B408:B907,MATCH(A444,A408:A907,0)),0),"#,##0.0")&amp;" kg  Lote: "&amp;IFERROR(INDEX(C408:C907,MATCH(A444,A408:A907,0)),"?"),"")</f>
        <v/>
      </c>
      <c r="E444" s="33"/>
      <c r="F444" s="33"/>
      <c r="G444" s="33"/>
      <c r="H444" s="33"/>
    </row>
    <row r="445" spans="1:8" ht="16.5" customHeight="1" x14ac:dyDescent="0.25">
      <c r="A445" s="17"/>
      <c r="B445" s="18"/>
      <c r="C445" s="27"/>
      <c r="D445" s="32" t="str">
        <f t="shared" ref="D445" si="293">IF(AND(A445&lt;&gt;"",COUNTIF(A408:A907,A445)&gt;1),"⚠️ JÁ PESADO! Peso: "&amp;TEXT(IFERROR(INDEX(B408:B907,MATCH(A445,A408:A907,0)),0),"#,##0.0")&amp;" kg  Lote: "&amp;IFERROR(INDEX(C408:C907,MATCH(A445,A408:A907,0)),"?"),"")</f>
        <v/>
      </c>
      <c r="E445" s="32"/>
      <c r="F445" s="32"/>
      <c r="G445" s="32"/>
      <c r="H445" s="32"/>
    </row>
    <row r="446" spans="1:8" ht="16.5" customHeight="1" x14ac:dyDescent="0.25">
      <c r="A446" s="15"/>
      <c r="B446" s="16"/>
      <c r="C446" s="26"/>
      <c r="D446" s="33" t="str">
        <f t="shared" ref="D446" si="294">IF(AND(A446&lt;&gt;"",COUNTIF(A410:A909,A446)&gt;1),"⚠️ JÁ PESADO! Peso: "&amp;TEXT(IFERROR(INDEX(B410:B909,MATCH(A446,A410:A909,0)),0),"#,##0.0")&amp;" kg  Lote: "&amp;IFERROR(INDEX(C410:C909,MATCH(A446,A410:A909,0)),"?"),"")</f>
        <v/>
      </c>
      <c r="E446" s="33"/>
      <c r="F446" s="33"/>
      <c r="G446" s="33"/>
      <c r="H446" s="33"/>
    </row>
    <row r="447" spans="1:8" ht="16.5" customHeight="1" x14ac:dyDescent="0.25">
      <c r="A447" s="17"/>
      <c r="B447" s="18"/>
      <c r="C447" s="27"/>
      <c r="D447" s="32" t="str">
        <f t="shared" ref="D447" si="295">IF(AND(A447&lt;&gt;"",COUNTIF(A410:A909,A447)&gt;1),"⚠️ JÁ PESADO! Peso: "&amp;TEXT(IFERROR(INDEX(B410:B909,MATCH(A447,A410:A909,0)),0),"#,##0.0")&amp;" kg  Lote: "&amp;IFERROR(INDEX(C410:C909,MATCH(A447,A410:A909,0)),"?"),"")</f>
        <v/>
      </c>
      <c r="E447" s="32"/>
      <c r="F447" s="32"/>
      <c r="G447" s="32"/>
      <c r="H447" s="32"/>
    </row>
    <row r="448" spans="1:8" ht="16.5" customHeight="1" x14ac:dyDescent="0.25">
      <c r="A448" s="15"/>
      <c r="B448" s="16"/>
      <c r="C448" s="26"/>
      <c r="D448" s="33" t="str">
        <f t="shared" ref="D448" si="296">IF(AND(A448&lt;&gt;"",COUNTIF(A412:A911,A448)&gt;1),"⚠️ JÁ PESADO! Peso: "&amp;TEXT(IFERROR(INDEX(B412:B911,MATCH(A448,A412:A911,0)),0),"#,##0.0")&amp;" kg  Lote: "&amp;IFERROR(INDEX(C412:C911,MATCH(A448,A412:A911,0)),"?"),"")</f>
        <v/>
      </c>
      <c r="E448" s="33"/>
      <c r="F448" s="33"/>
      <c r="G448" s="33"/>
      <c r="H448" s="33"/>
    </row>
    <row r="449" spans="1:8" ht="16.5" customHeight="1" x14ac:dyDescent="0.25">
      <c r="A449" s="17"/>
      <c r="B449" s="18"/>
      <c r="C449" s="27"/>
      <c r="D449" s="32" t="str">
        <f t="shared" ref="D449" si="297">IF(AND(A449&lt;&gt;"",COUNTIF(A412:A911,A449)&gt;1),"⚠️ JÁ PESADO! Peso: "&amp;TEXT(IFERROR(INDEX(B412:B911,MATCH(A449,A412:A911,0)),0),"#,##0.0")&amp;" kg  Lote: "&amp;IFERROR(INDEX(C412:C911,MATCH(A449,A412:A911,0)),"?"),"")</f>
        <v/>
      </c>
      <c r="E449" s="32"/>
      <c r="F449" s="32"/>
      <c r="G449" s="32"/>
      <c r="H449" s="32"/>
    </row>
    <row r="450" spans="1:8" ht="16.5" customHeight="1" x14ac:dyDescent="0.25">
      <c r="A450" s="15"/>
      <c r="B450" s="16"/>
      <c r="C450" s="26"/>
      <c r="D450" s="33" t="str">
        <f t="shared" ref="D450" si="298">IF(AND(A450&lt;&gt;"",COUNTIF(A414:A913,A450)&gt;1),"⚠️ JÁ PESADO! Peso: "&amp;TEXT(IFERROR(INDEX(B414:B913,MATCH(A450,A414:A913,0)),0),"#,##0.0")&amp;" kg  Lote: "&amp;IFERROR(INDEX(C414:C913,MATCH(A450,A414:A913,0)),"?"),"")</f>
        <v/>
      </c>
      <c r="E450" s="33"/>
      <c r="F450" s="33"/>
      <c r="G450" s="33"/>
      <c r="H450" s="33"/>
    </row>
    <row r="451" spans="1:8" ht="16.5" customHeight="1" x14ac:dyDescent="0.25">
      <c r="A451" s="17"/>
      <c r="B451" s="18"/>
      <c r="C451" s="27"/>
      <c r="D451" s="32" t="str">
        <f t="shared" ref="D451" si="299">IF(AND(A451&lt;&gt;"",COUNTIF(A414:A913,A451)&gt;1),"⚠️ JÁ PESADO! Peso: "&amp;TEXT(IFERROR(INDEX(B414:B913,MATCH(A451,A414:A913,0)),0),"#,##0.0")&amp;" kg  Lote: "&amp;IFERROR(INDEX(C414:C913,MATCH(A451,A414:A913,0)),"?"),"")</f>
        <v/>
      </c>
      <c r="E451" s="32"/>
      <c r="F451" s="32"/>
      <c r="G451" s="32"/>
      <c r="H451" s="32"/>
    </row>
    <row r="452" spans="1:8" ht="16.5" customHeight="1" x14ac:dyDescent="0.25">
      <c r="A452" s="15"/>
      <c r="B452" s="16"/>
      <c r="C452" s="26"/>
      <c r="D452" s="33" t="str">
        <f t="shared" ref="D452" si="300">IF(AND(A452&lt;&gt;"",COUNTIF(A416:A915,A452)&gt;1),"⚠️ JÁ PESADO! Peso: "&amp;TEXT(IFERROR(INDEX(B416:B915,MATCH(A452,A416:A915,0)),0),"#,##0.0")&amp;" kg  Lote: "&amp;IFERROR(INDEX(C416:C915,MATCH(A452,A416:A915,0)),"?"),"")</f>
        <v/>
      </c>
      <c r="E452" s="33"/>
      <c r="F452" s="33"/>
      <c r="G452" s="33"/>
      <c r="H452" s="33"/>
    </row>
    <row r="453" spans="1:8" ht="16.5" customHeight="1" x14ac:dyDescent="0.25">
      <c r="A453" s="17"/>
      <c r="B453" s="18"/>
      <c r="C453" s="27"/>
      <c r="D453" s="32" t="str">
        <f t="shared" ref="D453" si="301">IF(AND(A453&lt;&gt;"",COUNTIF(A416:A915,A453)&gt;1),"⚠️ JÁ PESADO! Peso: "&amp;TEXT(IFERROR(INDEX(B416:B915,MATCH(A453,A416:A915,0)),0),"#,##0.0")&amp;" kg  Lote: "&amp;IFERROR(INDEX(C416:C915,MATCH(A453,A416:A915,0)),"?"),"")</f>
        <v/>
      </c>
      <c r="E453" s="32"/>
      <c r="F453" s="32"/>
      <c r="G453" s="32"/>
      <c r="H453" s="32"/>
    </row>
    <row r="454" spans="1:8" ht="16.5" customHeight="1" x14ac:dyDescent="0.25">
      <c r="A454" s="15"/>
      <c r="B454" s="16"/>
      <c r="C454" s="26"/>
      <c r="D454" s="33" t="str">
        <f t="shared" ref="D454" si="302">IF(AND(A454&lt;&gt;"",COUNTIF(A418:A917,A454)&gt;1),"⚠️ JÁ PESADO! Peso: "&amp;TEXT(IFERROR(INDEX(B418:B917,MATCH(A454,A418:A917,0)),0),"#,##0.0")&amp;" kg  Lote: "&amp;IFERROR(INDEX(C418:C917,MATCH(A454,A418:A917,0)),"?"),"")</f>
        <v/>
      </c>
      <c r="E454" s="33"/>
      <c r="F454" s="33"/>
      <c r="G454" s="33"/>
      <c r="H454" s="33"/>
    </row>
    <row r="455" spans="1:8" ht="16.5" customHeight="1" x14ac:dyDescent="0.25">
      <c r="A455" s="17"/>
      <c r="B455" s="18"/>
      <c r="C455" s="27"/>
      <c r="D455" s="32" t="str">
        <f t="shared" ref="D455" si="303">IF(AND(A455&lt;&gt;"",COUNTIF(A418:A917,A455)&gt;1),"⚠️ JÁ PESADO! Peso: "&amp;TEXT(IFERROR(INDEX(B418:B917,MATCH(A455,A418:A917,0)),0),"#,##0.0")&amp;" kg  Lote: "&amp;IFERROR(INDEX(C418:C917,MATCH(A455,A418:A917,0)),"?"),"")</f>
        <v/>
      </c>
      <c r="E455" s="32"/>
      <c r="F455" s="32"/>
      <c r="G455" s="32"/>
      <c r="H455" s="32"/>
    </row>
    <row r="456" spans="1:8" ht="16.5" customHeight="1" x14ac:dyDescent="0.25">
      <c r="A456" s="15"/>
      <c r="B456" s="16"/>
      <c r="C456" s="26"/>
      <c r="D456" s="33" t="str">
        <f t="shared" ref="D456" si="304">IF(AND(A456&lt;&gt;"",COUNTIF(A420:A919,A456)&gt;1),"⚠️ JÁ PESADO! Peso: "&amp;TEXT(IFERROR(INDEX(B420:B919,MATCH(A456,A420:A919,0)),0),"#,##0.0")&amp;" kg  Lote: "&amp;IFERROR(INDEX(C420:C919,MATCH(A456,A420:A919,0)),"?"),"")</f>
        <v/>
      </c>
      <c r="E456" s="33"/>
      <c r="F456" s="33"/>
      <c r="G456" s="33"/>
      <c r="H456" s="33"/>
    </row>
    <row r="457" spans="1:8" ht="16.5" customHeight="1" x14ac:dyDescent="0.25">
      <c r="A457" s="17"/>
      <c r="B457" s="18"/>
      <c r="C457" s="27"/>
      <c r="D457" s="32" t="str">
        <f t="shared" ref="D457" si="305">IF(AND(A457&lt;&gt;"",COUNTIF(A420:A919,A457)&gt;1),"⚠️ JÁ PESADO! Peso: "&amp;TEXT(IFERROR(INDEX(B420:B919,MATCH(A457,A420:A919,0)),0),"#,##0.0")&amp;" kg  Lote: "&amp;IFERROR(INDEX(C420:C919,MATCH(A457,A420:A919,0)),"?"),"")</f>
        <v/>
      </c>
      <c r="E457" s="32"/>
      <c r="F457" s="32"/>
      <c r="G457" s="32"/>
      <c r="H457" s="32"/>
    </row>
    <row r="458" spans="1:8" ht="16.5" customHeight="1" x14ac:dyDescent="0.25">
      <c r="A458" s="15"/>
      <c r="B458" s="16"/>
      <c r="C458" s="26"/>
      <c r="D458" s="33" t="str">
        <f t="shared" ref="D458" si="306">IF(AND(A458&lt;&gt;"",COUNTIF(A422:A921,A458)&gt;1),"⚠️ JÁ PESADO! Peso: "&amp;TEXT(IFERROR(INDEX(B422:B921,MATCH(A458,A422:A921,0)),0),"#,##0.0")&amp;" kg  Lote: "&amp;IFERROR(INDEX(C422:C921,MATCH(A458,A422:A921,0)),"?"),"")</f>
        <v/>
      </c>
      <c r="E458" s="33"/>
      <c r="F458" s="33"/>
      <c r="G458" s="33"/>
      <c r="H458" s="33"/>
    </row>
    <row r="459" spans="1:8" ht="16.5" customHeight="1" x14ac:dyDescent="0.25">
      <c r="A459" s="17"/>
      <c r="B459" s="18"/>
      <c r="C459" s="27"/>
      <c r="D459" s="32" t="str">
        <f t="shared" ref="D459" si="307">IF(AND(A459&lt;&gt;"",COUNTIF(A422:A921,A459)&gt;1),"⚠️ JÁ PESADO! Peso: "&amp;TEXT(IFERROR(INDEX(B422:B921,MATCH(A459,A422:A921,0)),0),"#,##0.0")&amp;" kg  Lote: "&amp;IFERROR(INDEX(C422:C921,MATCH(A459,A422:A921,0)),"?"),"")</f>
        <v/>
      </c>
      <c r="E459" s="32"/>
      <c r="F459" s="32"/>
      <c r="G459" s="32"/>
      <c r="H459" s="32"/>
    </row>
    <row r="460" spans="1:8" ht="16.5" customHeight="1" x14ac:dyDescent="0.25">
      <c r="A460" s="15"/>
      <c r="B460" s="16"/>
      <c r="C460" s="26"/>
      <c r="D460" s="33" t="str">
        <f t="shared" ref="D460" si="308">IF(AND(A460&lt;&gt;"",COUNTIF(A424:A923,A460)&gt;1),"⚠️ JÁ PESADO! Peso: "&amp;TEXT(IFERROR(INDEX(B424:B923,MATCH(A460,A424:A923,0)),0),"#,##0.0")&amp;" kg  Lote: "&amp;IFERROR(INDEX(C424:C923,MATCH(A460,A424:A923,0)),"?"),"")</f>
        <v/>
      </c>
      <c r="E460" s="33"/>
      <c r="F460" s="33"/>
      <c r="G460" s="33"/>
      <c r="H460" s="33"/>
    </row>
    <row r="461" spans="1:8" ht="16.5" customHeight="1" x14ac:dyDescent="0.25">
      <c r="A461" s="17"/>
      <c r="B461" s="18"/>
      <c r="C461" s="27"/>
      <c r="D461" s="32" t="str">
        <f t="shared" ref="D461" si="309">IF(AND(A461&lt;&gt;"",COUNTIF(A424:A923,A461)&gt;1),"⚠️ JÁ PESADO! Peso: "&amp;TEXT(IFERROR(INDEX(B424:B923,MATCH(A461,A424:A923,0)),0),"#,##0.0")&amp;" kg  Lote: "&amp;IFERROR(INDEX(C424:C923,MATCH(A461,A424:A923,0)),"?"),"")</f>
        <v/>
      </c>
      <c r="E461" s="32"/>
      <c r="F461" s="32"/>
      <c r="G461" s="32"/>
      <c r="H461" s="32"/>
    </row>
    <row r="462" spans="1:8" ht="16.5" customHeight="1" x14ac:dyDescent="0.25">
      <c r="A462" s="15"/>
      <c r="B462" s="16"/>
      <c r="C462" s="26"/>
      <c r="D462" s="33" t="str">
        <f t="shared" ref="D462" si="310">IF(AND(A462&lt;&gt;"",COUNTIF(A426:A925,A462)&gt;1),"⚠️ JÁ PESADO! Peso: "&amp;TEXT(IFERROR(INDEX(B426:B925,MATCH(A462,A426:A925,0)),0),"#,##0.0")&amp;" kg  Lote: "&amp;IFERROR(INDEX(C426:C925,MATCH(A462,A426:A925,0)),"?"),"")</f>
        <v/>
      </c>
      <c r="E462" s="33"/>
      <c r="F462" s="33"/>
      <c r="G462" s="33"/>
      <c r="H462" s="33"/>
    </row>
    <row r="463" spans="1:8" ht="16.5" customHeight="1" x14ac:dyDescent="0.25">
      <c r="A463" s="17"/>
      <c r="B463" s="18"/>
      <c r="C463" s="27"/>
      <c r="D463" s="32" t="str">
        <f t="shared" ref="D463" si="311">IF(AND(A463&lt;&gt;"",COUNTIF(A426:A925,A463)&gt;1),"⚠️ JÁ PESADO! Peso: "&amp;TEXT(IFERROR(INDEX(B426:B925,MATCH(A463,A426:A925,0)),0),"#,##0.0")&amp;" kg  Lote: "&amp;IFERROR(INDEX(C426:C925,MATCH(A463,A426:A925,0)),"?"),"")</f>
        <v/>
      </c>
      <c r="E463" s="32"/>
      <c r="F463" s="32"/>
      <c r="G463" s="32"/>
      <c r="H463" s="32"/>
    </row>
    <row r="464" spans="1:8" ht="16.5" customHeight="1" x14ac:dyDescent="0.25">
      <c r="A464" s="15"/>
      <c r="B464" s="16"/>
      <c r="C464" s="26"/>
      <c r="D464" s="33" t="str">
        <f t="shared" ref="D464" si="312">IF(AND(A464&lt;&gt;"",COUNTIF(A428:A927,A464)&gt;1),"⚠️ JÁ PESADO! Peso: "&amp;TEXT(IFERROR(INDEX(B428:B927,MATCH(A464,A428:A927,0)),0),"#,##0.0")&amp;" kg  Lote: "&amp;IFERROR(INDEX(C428:C927,MATCH(A464,A428:A927,0)),"?"),"")</f>
        <v/>
      </c>
      <c r="E464" s="33"/>
      <c r="F464" s="33"/>
      <c r="G464" s="33"/>
      <c r="H464" s="33"/>
    </row>
    <row r="465" spans="1:8" ht="16.5" customHeight="1" x14ac:dyDescent="0.25">
      <c r="A465" s="17"/>
      <c r="B465" s="18"/>
      <c r="C465" s="27"/>
      <c r="D465" s="32" t="str">
        <f t="shared" ref="D465" si="313">IF(AND(A465&lt;&gt;"",COUNTIF(A428:A927,A465)&gt;1),"⚠️ JÁ PESADO! Peso: "&amp;TEXT(IFERROR(INDEX(B428:B927,MATCH(A465,A428:A927,0)),0),"#,##0.0")&amp;" kg  Lote: "&amp;IFERROR(INDEX(C428:C927,MATCH(A465,A428:A927,0)),"?"),"")</f>
        <v/>
      </c>
      <c r="E465" s="32"/>
      <c r="F465" s="32"/>
      <c r="G465" s="32"/>
      <c r="H465" s="32"/>
    </row>
    <row r="466" spans="1:8" ht="16.5" customHeight="1" x14ac:dyDescent="0.25">
      <c r="A466" s="15"/>
      <c r="B466" s="16"/>
      <c r="C466" s="26"/>
      <c r="D466" s="33" t="str">
        <f t="shared" ref="D466" si="314">IF(AND(A466&lt;&gt;"",COUNTIF(A430:A929,A466)&gt;1),"⚠️ JÁ PESADO! Peso: "&amp;TEXT(IFERROR(INDEX(B430:B929,MATCH(A466,A430:A929,0)),0),"#,##0.0")&amp;" kg  Lote: "&amp;IFERROR(INDEX(C430:C929,MATCH(A466,A430:A929,0)),"?"),"")</f>
        <v/>
      </c>
      <c r="E466" s="33"/>
      <c r="F466" s="33"/>
      <c r="G466" s="33"/>
      <c r="H466" s="33"/>
    </row>
    <row r="467" spans="1:8" ht="16.5" customHeight="1" x14ac:dyDescent="0.25">
      <c r="A467" s="17"/>
      <c r="B467" s="18"/>
      <c r="C467" s="27"/>
      <c r="D467" s="32" t="str">
        <f t="shared" ref="D467" si="315">IF(AND(A467&lt;&gt;"",COUNTIF(A430:A929,A467)&gt;1),"⚠️ JÁ PESADO! Peso: "&amp;TEXT(IFERROR(INDEX(B430:B929,MATCH(A467,A430:A929,0)),0),"#,##0.0")&amp;" kg  Lote: "&amp;IFERROR(INDEX(C430:C929,MATCH(A467,A430:A929,0)),"?"),"")</f>
        <v/>
      </c>
      <c r="E467" s="32"/>
      <c r="F467" s="32"/>
      <c r="G467" s="32"/>
      <c r="H467" s="32"/>
    </row>
    <row r="468" spans="1:8" ht="16.5" customHeight="1" x14ac:dyDescent="0.25">
      <c r="A468" s="15"/>
      <c r="B468" s="16"/>
      <c r="C468" s="26"/>
      <c r="D468" s="33" t="str">
        <f t="shared" ref="D468" si="316">IF(AND(A468&lt;&gt;"",COUNTIF(A432:A931,A468)&gt;1),"⚠️ JÁ PESADO! Peso: "&amp;TEXT(IFERROR(INDEX(B432:B931,MATCH(A468,A432:A931,0)),0),"#,##0.0")&amp;" kg  Lote: "&amp;IFERROR(INDEX(C432:C931,MATCH(A468,A432:A931,0)),"?"),"")</f>
        <v/>
      </c>
      <c r="E468" s="33"/>
      <c r="F468" s="33"/>
      <c r="G468" s="33"/>
      <c r="H468" s="33"/>
    </row>
    <row r="469" spans="1:8" ht="16.5" customHeight="1" x14ac:dyDescent="0.25">
      <c r="A469" s="17"/>
      <c r="B469" s="18"/>
      <c r="C469" s="27"/>
      <c r="D469" s="32" t="str">
        <f t="shared" ref="D469" si="317">IF(AND(A469&lt;&gt;"",COUNTIF(A432:A931,A469)&gt;1),"⚠️ JÁ PESADO! Peso: "&amp;TEXT(IFERROR(INDEX(B432:B931,MATCH(A469,A432:A931,0)),0),"#,##0.0")&amp;" kg  Lote: "&amp;IFERROR(INDEX(C432:C931,MATCH(A469,A432:A931,0)),"?"),"")</f>
        <v/>
      </c>
      <c r="E469" s="32"/>
      <c r="F469" s="32"/>
      <c r="G469" s="32"/>
      <c r="H469" s="32"/>
    </row>
    <row r="470" spans="1:8" ht="16.5" customHeight="1" x14ac:dyDescent="0.25">
      <c r="A470" s="15"/>
      <c r="B470" s="16"/>
      <c r="C470" s="26"/>
      <c r="D470" s="33" t="str">
        <f t="shared" ref="D470" si="318">IF(AND(A470&lt;&gt;"",COUNTIF(A434:A933,A470)&gt;1),"⚠️ JÁ PESADO! Peso: "&amp;TEXT(IFERROR(INDEX(B434:B933,MATCH(A470,A434:A933,0)),0),"#,##0.0")&amp;" kg  Lote: "&amp;IFERROR(INDEX(C434:C933,MATCH(A470,A434:A933,0)),"?"),"")</f>
        <v/>
      </c>
      <c r="E470" s="33"/>
      <c r="F470" s="33"/>
      <c r="G470" s="33"/>
      <c r="H470" s="33"/>
    </row>
    <row r="471" spans="1:8" ht="16.5" customHeight="1" x14ac:dyDescent="0.25">
      <c r="A471" s="17"/>
      <c r="B471" s="18"/>
      <c r="C471" s="27"/>
      <c r="D471" s="32" t="str">
        <f t="shared" ref="D471" si="319">IF(AND(A471&lt;&gt;"",COUNTIF(A434:A933,A471)&gt;1),"⚠️ JÁ PESADO! Peso: "&amp;TEXT(IFERROR(INDEX(B434:B933,MATCH(A471,A434:A933,0)),0),"#,##0.0")&amp;" kg  Lote: "&amp;IFERROR(INDEX(C434:C933,MATCH(A471,A434:A933,0)),"?"),"")</f>
        <v/>
      </c>
      <c r="E471" s="32"/>
      <c r="F471" s="32"/>
      <c r="G471" s="32"/>
      <c r="H471" s="32"/>
    </row>
    <row r="472" spans="1:8" ht="16.5" customHeight="1" x14ac:dyDescent="0.25">
      <c r="A472" s="15"/>
      <c r="B472" s="16"/>
      <c r="C472" s="26"/>
      <c r="D472" s="33" t="str">
        <f t="shared" ref="D472" si="320">IF(AND(A472&lt;&gt;"",COUNTIF(A436:A935,A472)&gt;1),"⚠️ JÁ PESADO! Peso: "&amp;TEXT(IFERROR(INDEX(B436:B935,MATCH(A472,A436:A935,0)),0),"#,##0.0")&amp;" kg  Lote: "&amp;IFERROR(INDEX(C436:C935,MATCH(A472,A436:A935,0)),"?"),"")</f>
        <v/>
      </c>
      <c r="E472" s="33"/>
      <c r="F472" s="33"/>
      <c r="G472" s="33"/>
      <c r="H472" s="33"/>
    </row>
    <row r="473" spans="1:8" ht="16.5" customHeight="1" x14ac:dyDescent="0.25">
      <c r="A473" s="17"/>
      <c r="B473" s="18"/>
      <c r="C473" s="27"/>
      <c r="D473" s="32" t="str">
        <f t="shared" ref="D473" si="321">IF(AND(A473&lt;&gt;"",COUNTIF(A436:A935,A473)&gt;1),"⚠️ JÁ PESADO! Peso: "&amp;TEXT(IFERROR(INDEX(B436:B935,MATCH(A473,A436:A935,0)),0),"#,##0.0")&amp;" kg  Lote: "&amp;IFERROR(INDEX(C436:C935,MATCH(A473,A436:A935,0)),"?"),"")</f>
        <v/>
      </c>
      <c r="E473" s="32"/>
      <c r="F473" s="32"/>
      <c r="G473" s="32"/>
      <c r="H473" s="32"/>
    </row>
    <row r="474" spans="1:8" ht="16.5" customHeight="1" x14ac:dyDescent="0.25">
      <c r="A474" s="15"/>
      <c r="B474" s="16"/>
      <c r="C474" s="26"/>
      <c r="D474" s="33" t="str">
        <f t="shared" ref="D474" si="322">IF(AND(A474&lt;&gt;"",COUNTIF(A438:A937,A474)&gt;1),"⚠️ JÁ PESADO! Peso: "&amp;TEXT(IFERROR(INDEX(B438:B937,MATCH(A474,A438:A937,0)),0),"#,##0.0")&amp;" kg  Lote: "&amp;IFERROR(INDEX(C438:C937,MATCH(A474,A438:A937,0)),"?"),"")</f>
        <v/>
      </c>
      <c r="E474" s="33"/>
      <c r="F474" s="33"/>
      <c r="G474" s="33"/>
      <c r="H474" s="33"/>
    </row>
    <row r="475" spans="1:8" ht="16.5" customHeight="1" x14ac:dyDescent="0.25">
      <c r="A475" s="17"/>
      <c r="B475" s="18"/>
      <c r="C475" s="27"/>
      <c r="D475" s="32" t="str">
        <f t="shared" ref="D475" si="323">IF(AND(A475&lt;&gt;"",COUNTIF(A438:A937,A475)&gt;1),"⚠️ JÁ PESADO! Peso: "&amp;TEXT(IFERROR(INDEX(B438:B937,MATCH(A475,A438:A937,0)),0),"#,##0.0")&amp;" kg  Lote: "&amp;IFERROR(INDEX(C438:C937,MATCH(A475,A438:A937,0)),"?"),"")</f>
        <v/>
      </c>
      <c r="E475" s="32"/>
      <c r="F475" s="32"/>
      <c r="G475" s="32"/>
      <c r="H475" s="32"/>
    </row>
    <row r="476" spans="1:8" ht="16.5" customHeight="1" x14ac:dyDescent="0.25">
      <c r="A476" s="15"/>
      <c r="B476" s="16"/>
      <c r="C476" s="26"/>
      <c r="D476" s="33" t="str">
        <f t="shared" ref="D476" si="324">IF(AND(A476&lt;&gt;"",COUNTIF(A440:A939,A476)&gt;1),"⚠️ JÁ PESADO! Peso: "&amp;TEXT(IFERROR(INDEX(B440:B939,MATCH(A476,A440:A939,0)),0),"#,##0.0")&amp;" kg  Lote: "&amp;IFERROR(INDEX(C440:C939,MATCH(A476,A440:A939,0)),"?"),"")</f>
        <v/>
      </c>
      <c r="E476" s="33"/>
      <c r="F476" s="33"/>
      <c r="G476" s="33"/>
      <c r="H476" s="33"/>
    </row>
    <row r="477" spans="1:8" ht="16.5" customHeight="1" x14ac:dyDescent="0.25">
      <c r="A477" s="17"/>
      <c r="B477" s="18"/>
      <c r="C477" s="27"/>
      <c r="D477" s="32" t="str">
        <f t="shared" ref="D477" si="325">IF(AND(A477&lt;&gt;"",COUNTIF(A440:A939,A477)&gt;1),"⚠️ JÁ PESADO! Peso: "&amp;TEXT(IFERROR(INDEX(B440:B939,MATCH(A477,A440:A939,0)),0),"#,##0.0")&amp;" kg  Lote: "&amp;IFERROR(INDEX(C440:C939,MATCH(A477,A440:A939,0)),"?"),"")</f>
        <v/>
      </c>
      <c r="E477" s="32"/>
      <c r="F477" s="32"/>
      <c r="G477" s="32"/>
      <c r="H477" s="32"/>
    </row>
    <row r="478" spans="1:8" ht="16.5" customHeight="1" x14ac:dyDescent="0.25">
      <c r="A478" s="15"/>
      <c r="B478" s="16"/>
      <c r="C478" s="26"/>
      <c r="D478" s="33" t="str">
        <f t="shared" ref="D478" si="326">IF(AND(A478&lt;&gt;"",COUNTIF(A442:A941,A478)&gt;1),"⚠️ JÁ PESADO! Peso: "&amp;TEXT(IFERROR(INDEX(B442:B941,MATCH(A478,A442:A941,0)),0),"#,##0.0")&amp;" kg  Lote: "&amp;IFERROR(INDEX(C442:C941,MATCH(A478,A442:A941,0)),"?"),"")</f>
        <v/>
      </c>
      <c r="E478" s="33"/>
      <c r="F478" s="33"/>
      <c r="G478" s="33"/>
      <c r="H478" s="33"/>
    </row>
    <row r="479" spans="1:8" ht="16.5" customHeight="1" x14ac:dyDescent="0.25">
      <c r="A479" s="17"/>
      <c r="B479" s="18"/>
      <c r="C479" s="27"/>
      <c r="D479" s="32" t="str">
        <f t="shared" ref="D479" si="327">IF(AND(A479&lt;&gt;"",COUNTIF(A442:A941,A479)&gt;1),"⚠️ JÁ PESADO! Peso: "&amp;TEXT(IFERROR(INDEX(B442:B941,MATCH(A479,A442:A941,0)),0),"#,##0.0")&amp;" kg  Lote: "&amp;IFERROR(INDEX(C442:C941,MATCH(A479,A442:A941,0)),"?"),"")</f>
        <v/>
      </c>
      <c r="E479" s="32"/>
      <c r="F479" s="32"/>
      <c r="G479" s="32"/>
      <c r="H479" s="32"/>
    </row>
    <row r="480" spans="1:8" ht="16.5" customHeight="1" x14ac:dyDescent="0.25">
      <c r="A480" s="15"/>
      <c r="B480" s="16"/>
      <c r="C480" s="26"/>
      <c r="D480" s="33" t="str">
        <f t="shared" ref="D480" si="328">IF(AND(A480&lt;&gt;"",COUNTIF(A444:A943,A480)&gt;1),"⚠️ JÁ PESADO! Peso: "&amp;TEXT(IFERROR(INDEX(B444:B943,MATCH(A480,A444:A943,0)),0),"#,##0.0")&amp;" kg  Lote: "&amp;IFERROR(INDEX(C444:C943,MATCH(A480,A444:A943,0)),"?"),"")</f>
        <v/>
      </c>
      <c r="E480" s="33"/>
      <c r="F480" s="33"/>
      <c r="G480" s="33"/>
      <c r="H480" s="33"/>
    </row>
    <row r="481" spans="1:8" ht="16.5" customHeight="1" x14ac:dyDescent="0.25">
      <c r="A481" s="17"/>
      <c r="B481" s="18"/>
      <c r="C481" s="27"/>
      <c r="D481" s="32" t="str">
        <f t="shared" ref="D481" si="329">IF(AND(A481&lt;&gt;"",COUNTIF(A444:A943,A481)&gt;1),"⚠️ JÁ PESADO! Peso: "&amp;TEXT(IFERROR(INDEX(B444:B943,MATCH(A481,A444:A943,0)),0),"#,##0.0")&amp;" kg  Lote: "&amp;IFERROR(INDEX(C444:C943,MATCH(A481,A444:A943,0)),"?"),"")</f>
        <v/>
      </c>
      <c r="E481" s="32"/>
      <c r="F481" s="32"/>
      <c r="G481" s="32"/>
      <c r="H481" s="32"/>
    </row>
    <row r="482" spans="1:8" ht="16.5" customHeight="1" x14ac:dyDescent="0.25">
      <c r="A482" s="15"/>
      <c r="B482" s="16"/>
      <c r="C482" s="26"/>
      <c r="D482" s="33" t="str">
        <f t="shared" ref="D482" si="330">IF(AND(A482&lt;&gt;"",COUNTIF(A446:A945,A482)&gt;1),"⚠️ JÁ PESADO! Peso: "&amp;TEXT(IFERROR(INDEX(B446:B945,MATCH(A482,A446:A945,0)),0),"#,##0.0")&amp;" kg  Lote: "&amp;IFERROR(INDEX(C446:C945,MATCH(A482,A446:A945,0)),"?"),"")</f>
        <v/>
      </c>
      <c r="E482" s="33"/>
      <c r="F482" s="33"/>
      <c r="G482" s="33"/>
      <c r="H482" s="33"/>
    </row>
    <row r="483" spans="1:8" ht="16.5" customHeight="1" x14ac:dyDescent="0.25">
      <c r="A483" s="17"/>
      <c r="B483" s="18"/>
      <c r="C483" s="27"/>
      <c r="D483" s="32" t="str">
        <f t="shared" ref="D483" si="331">IF(AND(A483&lt;&gt;"",COUNTIF(A446:A945,A483)&gt;1),"⚠️ JÁ PESADO! Peso: "&amp;TEXT(IFERROR(INDEX(B446:B945,MATCH(A483,A446:A945,0)),0),"#,##0.0")&amp;" kg  Lote: "&amp;IFERROR(INDEX(C446:C945,MATCH(A483,A446:A945,0)),"?"),"")</f>
        <v/>
      </c>
      <c r="E483" s="32"/>
      <c r="F483" s="32"/>
      <c r="G483" s="32"/>
      <c r="H483" s="32"/>
    </row>
    <row r="484" spans="1:8" ht="16.5" customHeight="1" x14ac:dyDescent="0.25">
      <c r="A484" s="15"/>
      <c r="B484" s="16"/>
      <c r="C484" s="26"/>
      <c r="D484" s="33" t="str">
        <f t="shared" ref="D484" si="332">IF(AND(A484&lt;&gt;"",COUNTIF(A448:A947,A484)&gt;1),"⚠️ JÁ PESADO! Peso: "&amp;TEXT(IFERROR(INDEX(B448:B947,MATCH(A484,A448:A947,0)),0),"#,##0.0")&amp;" kg  Lote: "&amp;IFERROR(INDEX(C448:C947,MATCH(A484,A448:A947,0)),"?"),"")</f>
        <v/>
      </c>
      <c r="E484" s="33"/>
      <c r="F484" s="33"/>
      <c r="G484" s="33"/>
      <c r="H484" s="33"/>
    </row>
    <row r="485" spans="1:8" ht="16.5" customHeight="1" x14ac:dyDescent="0.25">
      <c r="A485" s="17"/>
      <c r="B485" s="18"/>
      <c r="C485" s="27"/>
      <c r="D485" s="32" t="str">
        <f t="shared" ref="D485" si="333">IF(AND(A485&lt;&gt;"",COUNTIF(A448:A947,A485)&gt;1),"⚠️ JÁ PESADO! Peso: "&amp;TEXT(IFERROR(INDEX(B448:B947,MATCH(A485,A448:A947,0)),0),"#,##0.0")&amp;" kg  Lote: "&amp;IFERROR(INDEX(C448:C947,MATCH(A485,A448:A947,0)),"?"),"")</f>
        <v/>
      </c>
      <c r="E485" s="32"/>
      <c r="F485" s="32"/>
      <c r="G485" s="32"/>
      <c r="H485" s="32"/>
    </row>
    <row r="486" spans="1:8" ht="16.5" customHeight="1" x14ac:dyDescent="0.25">
      <c r="A486" s="15"/>
      <c r="B486" s="16"/>
      <c r="C486" s="26"/>
      <c r="D486" s="33" t="str">
        <f t="shared" ref="D486" si="334">IF(AND(A486&lt;&gt;"",COUNTIF(A450:A949,A486)&gt;1),"⚠️ JÁ PESADO! Peso: "&amp;TEXT(IFERROR(INDEX(B450:B949,MATCH(A486,A450:A949,0)),0),"#,##0.0")&amp;" kg  Lote: "&amp;IFERROR(INDEX(C450:C949,MATCH(A486,A450:A949,0)),"?"),"")</f>
        <v/>
      </c>
      <c r="E486" s="33"/>
      <c r="F486" s="33"/>
      <c r="G486" s="33"/>
      <c r="H486" s="33"/>
    </row>
    <row r="487" spans="1:8" ht="16.5" customHeight="1" x14ac:dyDescent="0.25">
      <c r="A487" s="17"/>
      <c r="B487" s="18"/>
      <c r="C487" s="27"/>
      <c r="D487" s="32" t="str">
        <f t="shared" ref="D487" si="335">IF(AND(A487&lt;&gt;"",COUNTIF(A450:A949,A487)&gt;1),"⚠️ JÁ PESADO! Peso: "&amp;TEXT(IFERROR(INDEX(B450:B949,MATCH(A487,A450:A949,0)),0),"#,##0.0")&amp;" kg  Lote: "&amp;IFERROR(INDEX(C450:C949,MATCH(A487,A450:A949,0)),"?"),"")</f>
        <v/>
      </c>
      <c r="E487" s="32"/>
      <c r="F487" s="32"/>
      <c r="G487" s="32"/>
      <c r="H487" s="32"/>
    </row>
    <row r="488" spans="1:8" ht="16.5" customHeight="1" x14ac:dyDescent="0.25">
      <c r="A488" s="15"/>
      <c r="B488" s="16"/>
      <c r="C488" s="26"/>
      <c r="D488" s="33" t="str">
        <f t="shared" ref="D488" si="336">IF(AND(A488&lt;&gt;"",COUNTIF(A452:A951,A488)&gt;1),"⚠️ JÁ PESADO! Peso: "&amp;TEXT(IFERROR(INDEX(B452:B951,MATCH(A488,A452:A951,0)),0),"#,##0.0")&amp;" kg  Lote: "&amp;IFERROR(INDEX(C452:C951,MATCH(A488,A452:A951,0)),"?"),"")</f>
        <v/>
      </c>
      <c r="E488" s="33"/>
      <c r="F488" s="33"/>
      <c r="G488" s="33"/>
      <c r="H488" s="33"/>
    </row>
    <row r="489" spans="1:8" ht="16.5" customHeight="1" x14ac:dyDescent="0.25">
      <c r="A489" s="17"/>
      <c r="B489" s="18"/>
      <c r="C489" s="27"/>
      <c r="D489" s="32" t="str">
        <f t="shared" ref="D489" si="337">IF(AND(A489&lt;&gt;"",COUNTIF(A452:A951,A489)&gt;1),"⚠️ JÁ PESADO! Peso: "&amp;TEXT(IFERROR(INDEX(B452:B951,MATCH(A489,A452:A951,0)),0),"#,##0.0")&amp;" kg  Lote: "&amp;IFERROR(INDEX(C452:C951,MATCH(A489,A452:A951,0)),"?"),"")</f>
        <v/>
      </c>
      <c r="E489" s="32"/>
      <c r="F489" s="32"/>
      <c r="G489" s="32"/>
      <c r="H489" s="32"/>
    </row>
    <row r="490" spans="1:8" ht="16.5" customHeight="1" x14ac:dyDescent="0.25">
      <c r="A490" s="15"/>
      <c r="B490" s="16"/>
      <c r="C490" s="26"/>
      <c r="D490" s="33" t="str">
        <f t="shared" ref="D490" si="338">IF(AND(A490&lt;&gt;"",COUNTIF(A454:A953,A490)&gt;1),"⚠️ JÁ PESADO! Peso: "&amp;TEXT(IFERROR(INDEX(B454:B953,MATCH(A490,A454:A953,0)),0),"#,##0.0")&amp;" kg  Lote: "&amp;IFERROR(INDEX(C454:C953,MATCH(A490,A454:A953,0)),"?"),"")</f>
        <v/>
      </c>
      <c r="E490" s="33"/>
      <c r="F490" s="33"/>
      <c r="G490" s="33"/>
      <c r="H490" s="33"/>
    </row>
    <row r="491" spans="1:8" ht="16.5" customHeight="1" x14ac:dyDescent="0.25">
      <c r="A491" s="17"/>
      <c r="B491" s="18"/>
      <c r="C491" s="27"/>
      <c r="D491" s="32" t="str">
        <f t="shared" ref="D491" si="339">IF(AND(A491&lt;&gt;"",COUNTIF(A454:A953,A491)&gt;1),"⚠️ JÁ PESADO! Peso: "&amp;TEXT(IFERROR(INDEX(B454:B953,MATCH(A491,A454:A953,0)),0),"#,##0.0")&amp;" kg  Lote: "&amp;IFERROR(INDEX(C454:C953,MATCH(A491,A454:A953,0)),"?"),"")</f>
        <v/>
      </c>
      <c r="E491" s="32"/>
      <c r="F491" s="32"/>
      <c r="G491" s="32"/>
      <c r="H491" s="32"/>
    </row>
    <row r="492" spans="1:8" ht="16.5" customHeight="1" x14ac:dyDescent="0.25">
      <c r="A492" s="15"/>
      <c r="B492" s="16"/>
      <c r="C492" s="26"/>
      <c r="D492" s="33" t="str">
        <f t="shared" ref="D492" si="340">IF(AND(A492&lt;&gt;"",COUNTIF(A456:A955,A492)&gt;1),"⚠️ JÁ PESADO! Peso: "&amp;TEXT(IFERROR(INDEX(B456:B955,MATCH(A492,A456:A955,0)),0),"#,##0.0")&amp;" kg  Lote: "&amp;IFERROR(INDEX(C456:C955,MATCH(A492,A456:A955,0)),"?"),"")</f>
        <v/>
      </c>
      <c r="E492" s="33"/>
      <c r="F492" s="33"/>
      <c r="G492" s="33"/>
      <c r="H492" s="33"/>
    </row>
    <row r="493" spans="1:8" ht="16.5" customHeight="1" x14ac:dyDescent="0.25">
      <c r="A493" s="17"/>
      <c r="B493" s="18"/>
      <c r="C493" s="27"/>
      <c r="D493" s="32" t="str">
        <f t="shared" ref="D493" si="341">IF(AND(A493&lt;&gt;"",COUNTIF(A456:A955,A493)&gt;1),"⚠️ JÁ PESADO! Peso: "&amp;TEXT(IFERROR(INDEX(B456:B955,MATCH(A493,A456:A955,0)),0),"#,##0.0")&amp;" kg  Lote: "&amp;IFERROR(INDEX(C456:C955,MATCH(A493,A456:A955,0)),"?"),"")</f>
        <v/>
      </c>
      <c r="E493" s="32"/>
      <c r="F493" s="32"/>
      <c r="G493" s="32"/>
      <c r="H493" s="32"/>
    </row>
    <row r="494" spans="1:8" ht="16.5" customHeight="1" x14ac:dyDescent="0.25">
      <c r="A494" s="15"/>
      <c r="B494" s="16"/>
      <c r="C494" s="26"/>
      <c r="D494" s="33" t="str">
        <f t="shared" ref="D494" si="342">IF(AND(A494&lt;&gt;"",COUNTIF(A458:A957,A494)&gt;1),"⚠️ JÁ PESADO! Peso: "&amp;TEXT(IFERROR(INDEX(B458:B957,MATCH(A494,A458:A957,0)),0),"#,##0.0")&amp;" kg  Lote: "&amp;IFERROR(INDEX(C458:C957,MATCH(A494,A458:A957,0)),"?"),"")</f>
        <v/>
      </c>
      <c r="E494" s="33"/>
      <c r="F494" s="33"/>
      <c r="G494" s="33"/>
      <c r="H494" s="33"/>
    </row>
    <row r="495" spans="1:8" ht="16.5" customHeight="1" x14ac:dyDescent="0.25">
      <c r="A495" s="17"/>
      <c r="B495" s="18"/>
      <c r="C495" s="27"/>
      <c r="D495" s="32" t="str">
        <f t="shared" ref="D495" si="343">IF(AND(A495&lt;&gt;"",COUNTIF(A458:A957,A495)&gt;1),"⚠️ JÁ PESADO! Peso: "&amp;TEXT(IFERROR(INDEX(B458:B957,MATCH(A495,A458:A957,0)),0),"#,##0.0")&amp;" kg  Lote: "&amp;IFERROR(INDEX(C458:C957,MATCH(A495,A458:A957,0)),"?"),"")</f>
        <v/>
      </c>
      <c r="E495" s="32"/>
      <c r="F495" s="32"/>
      <c r="G495" s="32"/>
      <c r="H495" s="32"/>
    </row>
    <row r="496" spans="1:8" ht="16.5" customHeight="1" x14ac:dyDescent="0.25">
      <c r="A496" s="15"/>
      <c r="B496" s="16"/>
      <c r="C496" s="26"/>
      <c r="D496" s="33" t="str">
        <f t="shared" ref="D496" si="344">IF(AND(A496&lt;&gt;"",COUNTIF(A460:A959,A496)&gt;1),"⚠️ JÁ PESADO! Peso: "&amp;TEXT(IFERROR(INDEX(B460:B959,MATCH(A496,A460:A959,0)),0),"#,##0.0")&amp;" kg  Lote: "&amp;IFERROR(INDEX(C460:C959,MATCH(A496,A460:A959,0)),"?"),"")</f>
        <v/>
      </c>
      <c r="E496" s="33"/>
      <c r="F496" s="33"/>
      <c r="G496" s="33"/>
      <c r="H496" s="33"/>
    </row>
    <row r="497" spans="1:8" ht="16.5" customHeight="1" x14ac:dyDescent="0.25">
      <c r="A497" s="17"/>
      <c r="B497" s="18"/>
      <c r="C497" s="27"/>
      <c r="D497" s="32" t="str">
        <f t="shared" ref="D497" si="345">IF(AND(A497&lt;&gt;"",COUNTIF(A460:A959,A497)&gt;1),"⚠️ JÁ PESADO! Peso: "&amp;TEXT(IFERROR(INDEX(B460:B959,MATCH(A497,A460:A959,0)),0),"#,##0.0")&amp;" kg  Lote: "&amp;IFERROR(INDEX(C460:C959,MATCH(A497,A460:A959,0)),"?"),"")</f>
        <v/>
      </c>
      <c r="E497" s="32"/>
      <c r="F497" s="32"/>
      <c r="G497" s="32"/>
      <c r="H497" s="32"/>
    </row>
    <row r="498" spans="1:8" ht="16.5" customHeight="1" x14ac:dyDescent="0.25">
      <c r="A498" s="15"/>
      <c r="B498" s="16"/>
      <c r="C498" s="26"/>
      <c r="D498" s="33" t="str">
        <f t="shared" ref="D498" si="346">IF(AND(A498&lt;&gt;"",COUNTIF(A462:A961,A498)&gt;1),"⚠️ JÁ PESADO! Peso: "&amp;TEXT(IFERROR(INDEX(B462:B961,MATCH(A498,A462:A961,0)),0),"#,##0.0")&amp;" kg  Lote: "&amp;IFERROR(INDEX(C462:C961,MATCH(A498,A462:A961,0)),"?"),"")</f>
        <v/>
      </c>
      <c r="E498" s="33"/>
      <c r="F498" s="33"/>
      <c r="G498" s="33"/>
      <c r="H498" s="33"/>
    </row>
    <row r="499" spans="1:8" ht="16.5" customHeight="1" x14ac:dyDescent="0.25">
      <c r="A499" s="17"/>
      <c r="B499" s="18"/>
      <c r="C499" s="27"/>
      <c r="D499" s="32" t="str">
        <f t="shared" ref="D499" si="347">IF(AND(A499&lt;&gt;"",COUNTIF(A462:A961,A499)&gt;1),"⚠️ JÁ PESADO! Peso: "&amp;TEXT(IFERROR(INDEX(B462:B961,MATCH(A499,A462:A961,0)),0),"#,##0.0")&amp;" kg  Lote: "&amp;IFERROR(INDEX(C462:C961,MATCH(A499,A462:A961,0)),"?"),"")</f>
        <v/>
      </c>
      <c r="E499" s="32"/>
      <c r="F499" s="32"/>
      <c r="G499" s="32"/>
      <c r="H499" s="32"/>
    </row>
    <row r="500" spans="1:8" ht="16.5" customHeight="1" x14ac:dyDescent="0.25">
      <c r="A500" s="15"/>
      <c r="B500" s="16"/>
      <c r="C500" s="26"/>
      <c r="D500" s="33" t="str">
        <f t="shared" ref="D500" si="348">IF(AND(A500&lt;&gt;"",COUNTIF(A464:A963,A500)&gt;1),"⚠️ JÁ PESADO! Peso: "&amp;TEXT(IFERROR(INDEX(B464:B963,MATCH(A500,A464:A963,0)),0),"#,##0.0")&amp;" kg  Lote: "&amp;IFERROR(INDEX(C464:C963,MATCH(A500,A464:A963,0)),"?"),"")</f>
        <v/>
      </c>
      <c r="E500" s="33"/>
      <c r="F500" s="33"/>
      <c r="G500" s="33"/>
      <c r="H500" s="33"/>
    </row>
    <row r="501" spans="1:8" ht="16.5" customHeight="1" x14ac:dyDescent="0.25">
      <c r="A501" s="17"/>
      <c r="B501" s="18"/>
      <c r="C501" s="27"/>
      <c r="D501" s="32" t="str">
        <f t="shared" ref="D501" si="349">IF(AND(A501&lt;&gt;"",COUNTIF(A464:A963,A501)&gt;1),"⚠️ JÁ PESADO! Peso: "&amp;TEXT(IFERROR(INDEX(B464:B963,MATCH(A501,A464:A963,0)),0),"#,##0.0")&amp;" kg  Lote: "&amp;IFERROR(INDEX(C464:C963,MATCH(A501,A464:A963,0)),"?"),"")</f>
        <v/>
      </c>
      <c r="E501" s="32"/>
      <c r="F501" s="32"/>
      <c r="G501" s="32"/>
      <c r="H501" s="32"/>
    </row>
    <row r="502" spans="1:8" ht="16.5" customHeight="1" x14ac:dyDescent="0.25">
      <c r="A502" s="15"/>
      <c r="B502" s="16"/>
      <c r="C502" s="26"/>
      <c r="D502" s="33" t="str">
        <f t="shared" ref="D502" si="350">IF(AND(A502&lt;&gt;"",COUNTIF(A466:A965,A502)&gt;1),"⚠️ JÁ PESADO! Peso: "&amp;TEXT(IFERROR(INDEX(B466:B965,MATCH(A502,A466:A965,0)),0),"#,##0.0")&amp;" kg  Lote: "&amp;IFERROR(INDEX(C466:C965,MATCH(A502,A466:A965,0)),"?"),"")</f>
        <v/>
      </c>
      <c r="E502" s="33"/>
      <c r="F502" s="33"/>
      <c r="G502" s="33"/>
      <c r="H502" s="33"/>
    </row>
    <row r="503" spans="1:8" ht="16.5" customHeight="1" x14ac:dyDescent="0.25">
      <c r="A503" s="17"/>
      <c r="B503" s="18"/>
      <c r="C503" s="27"/>
      <c r="D503" s="32" t="str">
        <f t="shared" ref="D503" si="351">IF(AND(A503&lt;&gt;"",COUNTIF(A466:A965,A503)&gt;1),"⚠️ JÁ PESADO! Peso: "&amp;TEXT(IFERROR(INDEX(B466:B965,MATCH(A503,A466:A965,0)),0),"#,##0.0")&amp;" kg  Lote: "&amp;IFERROR(INDEX(C466:C965,MATCH(A503,A466:A965,0)),"?"),"")</f>
        <v/>
      </c>
      <c r="E503" s="32"/>
      <c r="F503" s="32"/>
      <c r="G503" s="32"/>
      <c r="H503" s="32"/>
    </row>
    <row r="504" spans="1:8" ht="16.5" customHeight="1" x14ac:dyDescent="0.25">
      <c r="A504" s="15"/>
      <c r="B504" s="16"/>
      <c r="C504" s="26"/>
      <c r="D504" s="33" t="str">
        <f t="shared" ref="D504" si="352">IF(AND(A504&lt;&gt;"",COUNTIF(A468:A967,A504)&gt;1),"⚠️ JÁ PESADO! Peso: "&amp;TEXT(IFERROR(INDEX(B468:B967,MATCH(A504,A468:A967,0)),0),"#,##0.0")&amp;" kg  Lote: "&amp;IFERROR(INDEX(C468:C967,MATCH(A504,A468:A967,0)),"?"),"")</f>
        <v/>
      </c>
      <c r="E504" s="33"/>
      <c r="F504" s="33"/>
      <c r="G504" s="33"/>
      <c r="H504" s="33"/>
    </row>
    <row r="505" spans="1:8" ht="16.5" customHeight="1" x14ac:dyDescent="0.25">
      <c r="A505" s="17"/>
      <c r="B505" s="18"/>
      <c r="C505" s="27"/>
      <c r="D505" s="32" t="str">
        <f t="shared" ref="D505" si="353">IF(AND(A505&lt;&gt;"",COUNTIF(A468:A967,A505)&gt;1),"⚠️ JÁ PESADO! Peso: "&amp;TEXT(IFERROR(INDEX(B468:B967,MATCH(A505,A468:A967,0)),0),"#,##0.0")&amp;" kg  Lote: "&amp;IFERROR(INDEX(C468:C967,MATCH(A505,A468:A967,0)),"?"),"")</f>
        <v/>
      </c>
      <c r="E505" s="32"/>
      <c r="F505" s="32"/>
      <c r="G505" s="32"/>
      <c r="H505" s="32"/>
    </row>
    <row r="506" spans="1:8" ht="16.5" customHeight="1" x14ac:dyDescent="0.25">
      <c r="A506" s="15"/>
      <c r="B506" s="16"/>
      <c r="C506" s="26"/>
      <c r="D506" s="33" t="str">
        <f t="shared" ref="D506" si="354">IF(AND(A506&lt;&gt;"",COUNTIF(A470:A969,A506)&gt;1),"⚠️ JÁ PESADO! Peso: "&amp;TEXT(IFERROR(INDEX(B470:B969,MATCH(A506,A470:A969,0)),0),"#,##0.0")&amp;" kg  Lote: "&amp;IFERROR(INDEX(C470:C969,MATCH(A506,A470:A969,0)),"?"),"")</f>
        <v/>
      </c>
      <c r="E506" s="33"/>
      <c r="F506" s="33"/>
      <c r="G506" s="33"/>
      <c r="H506" s="33"/>
    </row>
    <row r="507" spans="1:8" ht="16.5" customHeight="1" x14ac:dyDescent="0.25">
      <c r="A507" s="17"/>
      <c r="B507" s="18"/>
      <c r="C507" s="27"/>
      <c r="D507" s="32" t="str">
        <f t="shared" ref="D507" si="355">IF(AND(A507&lt;&gt;"",COUNTIF(A470:A969,A507)&gt;1),"⚠️ JÁ PESADO! Peso: "&amp;TEXT(IFERROR(INDEX(B470:B969,MATCH(A507,A470:A969,0)),0),"#,##0.0")&amp;" kg  Lote: "&amp;IFERROR(INDEX(C470:C969,MATCH(A507,A470:A969,0)),"?"),"")</f>
        <v/>
      </c>
      <c r="E507" s="32"/>
      <c r="F507" s="32"/>
      <c r="G507" s="32"/>
      <c r="H507" s="32"/>
    </row>
    <row r="508" spans="1:8" ht="16.5" customHeight="1" x14ac:dyDescent="0.25">
      <c r="A508" s="15"/>
      <c r="B508" s="16"/>
      <c r="C508" s="26"/>
      <c r="D508" s="33" t="str">
        <f t="shared" ref="D508" si="356">IF(AND(A508&lt;&gt;"",COUNTIF(A472:A971,A508)&gt;1),"⚠️ JÁ PESADO! Peso: "&amp;TEXT(IFERROR(INDEX(B472:B971,MATCH(A508,A472:A971,0)),0),"#,##0.0")&amp;" kg  Lote: "&amp;IFERROR(INDEX(C472:C971,MATCH(A508,A472:A971,0)),"?"),"")</f>
        <v/>
      </c>
      <c r="E508" s="33"/>
      <c r="F508" s="33"/>
      <c r="G508" s="33"/>
      <c r="H508" s="33"/>
    </row>
    <row r="509" spans="1:8" ht="16.5" customHeight="1" x14ac:dyDescent="0.25">
      <c r="A509" s="17"/>
      <c r="B509" s="18"/>
      <c r="C509" s="27"/>
      <c r="D509" s="32" t="str">
        <f t="shared" ref="D509" si="357">IF(AND(A509&lt;&gt;"",COUNTIF(A472:A971,A509)&gt;1),"⚠️ JÁ PESADO! Peso: "&amp;TEXT(IFERROR(INDEX(B472:B971,MATCH(A509,A472:A971,0)),0),"#,##0.0")&amp;" kg  Lote: "&amp;IFERROR(INDEX(C472:C971,MATCH(A509,A472:A971,0)),"?"),"")</f>
        <v/>
      </c>
      <c r="E509" s="32"/>
      <c r="F509" s="32"/>
      <c r="G509" s="32"/>
      <c r="H509" s="32"/>
    </row>
    <row r="510" spans="1:8" ht="16.5" customHeight="1" x14ac:dyDescent="0.25">
      <c r="A510" s="15"/>
      <c r="B510" s="16"/>
      <c r="C510" s="26"/>
      <c r="D510" s="33" t="str">
        <f t="shared" ref="D510" si="358">IF(AND(A510&lt;&gt;"",COUNTIF(A474:A973,A510)&gt;1),"⚠️ JÁ PESADO! Peso: "&amp;TEXT(IFERROR(INDEX(B474:B973,MATCH(A510,A474:A973,0)),0),"#,##0.0")&amp;" kg  Lote: "&amp;IFERROR(INDEX(C474:C973,MATCH(A510,A474:A973,0)),"?"),"")</f>
        <v/>
      </c>
      <c r="E510" s="33"/>
      <c r="F510" s="33"/>
      <c r="G510" s="33"/>
      <c r="H510" s="33"/>
    </row>
    <row r="511" spans="1:8" ht="16.5" customHeight="1" x14ac:dyDescent="0.25">
      <c r="A511" s="17"/>
      <c r="B511" s="18"/>
      <c r="C511" s="27"/>
      <c r="D511" s="32" t="str">
        <f t="shared" ref="D511" si="359">IF(AND(A511&lt;&gt;"",COUNTIF(A474:A973,A511)&gt;1),"⚠️ JÁ PESADO! Peso: "&amp;TEXT(IFERROR(INDEX(B474:B973,MATCH(A511,A474:A973,0)),0),"#,##0.0")&amp;" kg  Lote: "&amp;IFERROR(INDEX(C474:C973,MATCH(A511,A474:A973,0)),"?"),"")</f>
        <v/>
      </c>
      <c r="E511" s="32"/>
      <c r="F511" s="32"/>
      <c r="G511" s="32"/>
      <c r="H511" s="32"/>
    </row>
    <row r="512" spans="1:8" ht="16.5" customHeight="1" x14ac:dyDescent="0.25">
      <c r="A512" s="15"/>
      <c r="B512" s="16"/>
      <c r="C512" s="26"/>
      <c r="D512" s="33" t="str">
        <f t="shared" ref="D512" si="360">IF(AND(A512&lt;&gt;"",COUNTIF(A476:A975,A512)&gt;1),"⚠️ JÁ PESADO! Peso: "&amp;TEXT(IFERROR(INDEX(B476:B975,MATCH(A512,A476:A975,0)),0),"#,##0.0")&amp;" kg  Lote: "&amp;IFERROR(INDEX(C476:C975,MATCH(A512,A476:A975,0)),"?"),"")</f>
        <v/>
      </c>
      <c r="E512" s="33"/>
      <c r="F512" s="33"/>
      <c r="G512" s="33"/>
      <c r="H512" s="33"/>
    </row>
    <row r="513" spans="1:8" ht="16.5" customHeight="1" x14ac:dyDescent="0.25">
      <c r="A513" s="17"/>
      <c r="B513" s="18"/>
      <c r="C513" s="27"/>
      <c r="D513" s="32" t="str">
        <f t="shared" ref="D513" si="361">IF(AND(A513&lt;&gt;"",COUNTIF(A476:A975,A513)&gt;1),"⚠️ JÁ PESADO! Peso: "&amp;TEXT(IFERROR(INDEX(B476:B975,MATCH(A513,A476:A975,0)),0),"#,##0.0")&amp;" kg  Lote: "&amp;IFERROR(INDEX(C476:C975,MATCH(A513,A476:A975,0)),"?"),"")</f>
        <v/>
      </c>
      <c r="E513" s="32"/>
      <c r="F513" s="32"/>
      <c r="G513" s="32"/>
      <c r="H513" s="32"/>
    </row>
  </sheetData>
  <autoFilter ref="A13:H13" xr:uid="{00000000-0001-0000-0000-000000000000}">
    <filterColumn colId="3" showButton="0"/>
    <filterColumn colId="4" showButton="0"/>
    <filterColumn colId="5" showButton="0"/>
    <filterColumn colId="6" showButton="0"/>
  </autoFilter>
  <mergeCells count="505">
    <mergeCell ref="D22:H22"/>
    <mergeCell ref="D23:H23"/>
    <mergeCell ref="D28:H28"/>
    <mergeCell ref="D24:H24"/>
    <mergeCell ref="D25:H25"/>
    <mergeCell ref="D26:H26"/>
    <mergeCell ref="D2:J2"/>
    <mergeCell ref="G3:J3"/>
    <mergeCell ref="E3:F3"/>
    <mergeCell ref="D13:H13"/>
    <mergeCell ref="D14:H14"/>
    <mergeCell ref="D15:H15"/>
    <mergeCell ref="D16:H16"/>
    <mergeCell ref="D17:H17"/>
    <mergeCell ref="D18:H18"/>
    <mergeCell ref="D19:H19"/>
    <mergeCell ref="D20:H20"/>
    <mergeCell ref="D21:H21"/>
    <mergeCell ref="D33:H33"/>
    <mergeCell ref="D34:H34"/>
    <mergeCell ref="D35:H35"/>
    <mergeCell ref="D36:H36"/>
    <mergeCell ref="D37:H37"/>
    <mergeCell ref="D27:H27"/>
    <mergeCell ref="D29:H29"/>
    <mergeCell ref="D30:H30"/>
    <mergeCell ref="D31:H31"/>
    <mergeCell ref="D32:H32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D53:H53"/>
    <mergeCell ref="D54:H54"/>
    <mergeCell ref="D55:H55"/>
    <mergeCell ref="D56:H56"/>
    <mergeCell ref="D57:H57"/>
    <mergeCell ref="D48:H48"/>
    <mergeCell ref="D49:H49"/>
    <mergeCell ref="D50:H50"/>
    <mergeCell ref="D51:H51"/>
    <mergeCell ref="D52:H52"/>
    <mergeCell ref="D74:H74"/>
    <mergeCell ref="D75:H75"/>
    <mergeCell ref="D76:H76"/>
    <mergeCell ref="D77:H77"/>
    <mergeCell ref="D78:H78"/>
    <mergeCell ref="D71:H71"/>
    <mergeCell ref="D72:H72"/>
    <mergeCell ref="D73:H73"/>
    <mergeCell ref="D68:H68"/>
    <mergeCell ref="D69:H69"/>
    <mergeCell ref="D70:H70"/>
    <mergeCell ref="A4:L4"/>
    <mergeCell ref="D63:H63"/>
    <mergeCell ref="D64:H64"/>
    <mergeCell ref="D65:H65"/>
    <mergeCell ref="D66:H66"/>
    <mergeCell ref="D67:H67"/>
    <mergeCell ref="D58:H58"/>
    <mergeCell ref="D59:H59"/>
    <mergeCell ref="D60:H60"/>
    <mergeCell ref="D61:H61"/>
    <mergeCell ref="D62:H62"/>
    <mergeCell ref="D84:H84"/>
    <mergeCell ref="D85:H85"/>
    <mergeCell ref="D86:H86"/>
    <mergeCell ref="D87:H87"/>
    <mergeCell ref="D88:H88"/>
    <mergeCell ref="D79:H79"/>
    <mergeCell ref="D80:H80"/>
    <mergeCell ref="D81:H81"/>
    <mergeCell ref="D82:H82"/>
    <mergeCell ref="D83:H83"/>
    <mergeCell ref="D94:H94"/>
    <mergeCell ref="D95:H95"/>
    <mergeCell ref="D96:H96"/>
    <mergeCell ref="D97:H97"/>
    <mergeCell ref="D98:H98"/>
    <mergeCell ref="D89:H89"/>
    <mergeCell ref="D90:H90"/>
    <mergeCell ref="D91:H91"/>
    <mergeCell ref="D92:H92"/>
    <mergeCell ref="D93:H93"/>
    <mergeCell ref="D104:H104"/>
    <mergeCell ref="D105:H105"/>
    <mergeCell ref="D106:H106"/>
    <mergeCell ref="D107:H107"/>
    <mergeCell ref="D108:H108"/>
    <mergeCell ref="D99:H99"/>
    <mergeCell ref="D100:H100"/>
    <mergeCell ref="D101:H101"/>
    <mergeCell ref="D102:H102"/>
    <mergeCell ref="D103:H103"/>
    <mergeCell ref="D114:H114"/>
    <mergeCell ref="D115:H115"/>
    <mergeCell ref="D116:H116"/>
    <mergeCell ref="D117:H117"/>
    <mergeCell ref="D118:H118"/>
    <mergeCell ref="D109:H109"/>
    <mergeCell ref="D110:H110"/>
    <mergeCell ref="D111:H111"/>
    <mergeCell ref="D112:H112"/>
    <mergeCell ref="D113:H113"/>
    <mergeCell ref="D124:H124"/>
    <mergeCell ref="D125:H125"/>
    <mergeCell ref="D126:H126"/>
    <mergeCell ref="D127:H127"/>
    <mergeCell ref="D128:H128"/>
    <mergeCell ref="D119:H119"/>
    <mergeCell ref="D120:H120"/>
    <mergeCell ref="D121:H121"/>
    <mergeCell ref="D122:H122"/>
    <mergeCell ref="D123:H123"/>
    <mergeCell ref="D134:H134"/>
    <mergeCell ref="D135:H135"/>
    <mergeCell ref="D136:H136"/>
    <mergeCell ref="D137:H137"/>
    <mergeCell ref="D138:H138"/>
    <mergeCell ref="D129:H129"/>
    <mergeCell ref="D130:H130"/>
    <mergeCell ref="D131:H131"/>
    <mergeCell ref="D132:H132"/>
    <mergeCell ref="D133:H133"/>
    <mergeCell ref="D144:H144"/>
    <mergeCell ref="D145:H145"/>
    <mergeCell ref="D146:H146"/>
    <mergeCell ref="D147:H147"/>
    <mergeCell ref="D148:H148"/>
    <mergeCell ref="D139:H139"/>
    <mergeCell ref="D140:H140"/>
    <mergeCell ref="D141:H141"/>
    <mergeCell ref="D142:H142"/>
    <mergeCell ref="D143:H143"/>
    <mergeCell ref="D154:H154"/>
    <mergeCell ref="D155:H155"/>
    <mergeCell ref="D156:H156"/>
    <mergeCell ref="D157:H157"/>
    <mergeCell ref="D158:H158"/>
    <mergeCell ref="D149:H149"/>
    <mergeCell ref="D150:H150"/>
    <mergeCell ref="D151:H151"/>
    <mergeCell ref="D152:H152"/>
    <mergeCell ref="D153:H153"/>
    <mergeCell ref="D164:H164"/>
    <mergeCell ref="D165:H165"/>
    <mergeCell ref="D166:H166"/>
    <mergeCell ref="D167:H167"/>
    <mergeCell ref="D168:H168"/>
    <mergeCell ref="D159:H159"/>
    <mergeCell ref="D160:H160"/>
    <mergeCell ref="D161:H161"/>
    <mergeCell ref="D162:H162"/>
    <mergeCell ref="D163:H163"/>
    <mergeCell ref="D174:H174"/>
    <mergeCell ref="D175:H175"/>
    <mergeCell ref="D176:H176"/>
    <mergeCell ref="D177:H177"/>
    <mergeCell ref="D178:H178"/>
    <mergeCell ref="D169:H169"/>
    <mergeCell ref="D170:H170"/>
    <mergeCell ref="D171:H171"/>
    <mergeCell ref="D172:H172"/>
    <mergeCell ref="D173:H173"/>
    <mergeCell ref="D184:H184"/>
    <mergeCell ref="D185:H185"/>
    <mergeCell ref="D186:H186"/>
    <mergeCell ref="D187:H187"/>
    <mergeCell ref="D188:H188"/>
    <mergeCell ref="D179:H179"/>
    <mergeCell ref="D180:H180"/>
    <mergeCell ref="D181:H181"/>
    <mergeCell ref="D182:H182"/>
    <mergeCell ref="D183:H183"/>
    <mergeCell ref="D194:H194"/>
    <mergeCell ref="D195:H195"/>
    <mergeCell ref="D196:H196"/>
    <mergeCell ref="D197:H197"/>
    <mergeCell ref="D198:H198"/>
    <mergeCell ref="D189:H189"/>
    <mergeCell ref="D190:H190"/>
    <mergeCell ref="D191:H191"/>
    <mergeCell ref="D192:H192"/>
    <mergeCell ref="D193:H193"/>
    <mergeCell ref="D204:H204"/>
    <mergeCell ref="D205:H205"/>
    <mergeCell ref="D206:H206"/>
    <mergeCell ref="D207:H207"/>
    <mergeCell ref="D208:H208"/>
    <mergeCell ref="D199:H199"/>
    <mergeCell ref="D200:H200"/>
    <mergeCell ref="D201:H201"/>
    <mergeCell ref="D202:H202"/>
    <mergeCell ref="D203:H203"/>
    <mergeCell ref="D214:H214"/>
    <mergeCell ref="D215:H215"/>
    <mergeCell ref="D216:H216"/>
    <mergeCell ref="D217:H217"/>
    <mergeCell ref="D218:H218"/>
    <mergeCell ref="D209:H209"/>
    <mergeCell ref="D210:H210"/>
    <mergeCell ref="D211:H211"/>
    <mergeCell ref="D212:H212"/>
    <mergeCell ref="D213:H213"/>
    <mergeCell ref="D224:H224"/>
    <mergeCell ref="D225:H225"/>
    <mergeCell ref="D226:H226"/>
    <mergeCell ref="D227:H227"/>
    <mergeCell ref="D228:H228"/>
    <mergeCell ref="D219:H219"/>
    <mergeCell ref="D220:H220"/>
    <mergeCell ref="D221:H221"/>
    <mergeCell ref="D222:H222"/>
    <mergeCell ref="D223:H223"/>
    <mergeCell ref="D234:H234"/>
    <mergeCell ref="D235:H235"/>
    <mergeCell ref="D236:H236"/>
    <mergeCell ref="D237:H237"/>
    <mergeCell ref="D238:H238"/>
    <mergeCell ref="D229:H229"/>
    <mergeCell ref="D230:H230"/>
    <mergeCell ref="D231:H231"/>
    <mergeCell ref="D232:H232"/>
    <mergeCell ref="D233:H233"/>
    <mergeCell ref="D244:H244"/>
    <mergeCell ref="D245:H245"/>
    <mergeCell ref="D246:H246"/>
    <mergeCell ref="D247:H247"/>
    <mergeCell ref="D248:H248"/>
    <mergeCell ref="D239:H239"/>
    <mergeCell ref="D240:H240"/>
    <mergeCell ref="D241:H241"/>
    <mergeCell ref="D242:H242"/>
    <mergeCell ref="D243:H243"/>
    <mergeCell ref="D254:H254"/>
    <mergeCell ref="D255:H255"/>
    <mergeCell ref="D256:H256"/>
    <mergeCell ref="D257:H257"/>
    <mergeCell ref="D258:H258"/>
    <mergeCell ref="D249:H249"/>
    <mergeCell ref="D250:H250"/>
    <mergeCell ref="D251:H251"/>
    <mergeCell ref="D252:H252"/>
    <mergeCell ref="D253:H253"/>
    <mergeCell ref="D264:H264"/>
    <mergeCell ref="D265:H265"/>
    <mergeCell ref="D266:H266"/>
    <mergeCell ref="D267:H267"/>
    <mergeCell ref="D268:H268"/>
    <mergeCell ref="D259:H259"/>
    <mergeCell ref="D260:H260"/>
    <mergeCell ref="D261:H261"/>
    <mergeCell ref="D262:H262"/>
    <mergeCell ref="D263:H263"/>
    <mergeCell ref="D274:H274"/>
    <mergeCell ref="D275:H275"/>
    <mergeCell ref="D276:H276"/>
    <mergeCell ref="D277:H277"/>
    <mergeCell ref="D278:H278"/>
    <mergeCell ref="D269:H269"/>
    <mergeCell ref="D270:H270"/>
    <mergeCell ref="D271:H271"/>
    <mergeCell ref="D272:H272"/>
    <mergeCell ref="D273:H273"/>
    <mergeCell ref="D284:H284"/>
    <mergeCell ref="D285:H285"/>
    <mergeCell ref="D286:H286"/>
    <mergeCell ref="D287:H287"/>
    <mergeCell ref="D288:H288"/>
    <mergeCell ref="D279:H279"/>
    <mergeCell ref="D280:H280"/>
    <mergeCell ref="D281:H281"/>
    <mergeCell ref="D282:H282"/>
    <mergeCell ref="D283:H283"/>
    <mergeCell ref="D294:H294"/>
    <mergeCell ref="D295:H295"/>
    <mergeCell ref="D296:H296"/>
    <mergeCell ref="D297:H297"/>
    <mergeCell ref="D298:H298"/>
    <mergeCell ref="D289:H289"/>
    <mergeCell ref="D290:H290"/>
    <mergeCell ref="D291:H291"/>
    <mergeCell ref="D292:H292"/>
    <mergeCell ref="D293:H293"/>
    <mergeCell ref="D304:H304"/>
    <mergeCell ref="D305:H305"/>
    <mergeCell ref="D306:H306"/>
    <mergeCell ref="D307:H307"/>
    <mergeCell ref="D308:H308"/>
    <mergeCell ref="D299:H299"/>
    <mergeCell ref="D300:H300"/>
    <mergeCell ref="D301:H301"/>
    <mergeCell ref="D302:H302"/>
    <mergeCell ref="D303:H303"/>
    <mergeCell ref="D314:H314"/>
    <mergeCell ref="D315:H315"/>
    <mergeCell ref="D316:H316"/>
    <mergeCell ref="D317:H317"/>
    <mergeCell ref="D318:H318"/>
    <mergeCell ref="D309:H309"/>
    <mergeCell ref="D310:H310"/>
    <mergeCell ref="D311:H311"/>
    <mergeCell ref="D312:H312"/>
    <mergeCell ref="D313:H313"/>
    <mergeCell ref="D324:H324"/>
    <mergeCell ref="D325:H325"/>
    <mergeCell ref="D326:H326"/>
    <mergeCell ref="D327:H327"/>
    <mergeCell ref="D328:H328"/>
    <mergeCell ref="D319:H319"/>
    <mergeCell ref="D320:H320"/>
    <mergeCell ref="D321:H321"/>
    <mergeCell ref="D322:H322"/>
    <mergeCell ref="D323:H323"/>
    <mergeCell ref="D334:H334"/>
    <mergeCell ref="D335:H335"/>
    <mergeCell ref="D336:H336"/>
    <mergeCell ref="D337:H337"/>
    <mergeCell ref="D338:H338"/>
    <mergeCell ref="D329:H329"/>
    <mergeCell ref="D330:H330"/>
    <mergeCell ref="D331:H331"/>
    <mergeCell ref="D332:H332"/>
    <mergeCell ref="D333:H333"/>
    <mergeCell ref="D344:H344"/>
    <mergeCell ref="D345:H345"/>
    <mergeCell ref="D346:H346"/>
    <mergeCell ref="D347:H347"/>
    <mergeCell ref="D348:H348"/>
    <mergeCell ref="D339:H339"/>
    <mergeCell ref="D340:H340"/>
    <mergeCell ref="D341:H341"/>
    <mergeCell ref="D342:H342"/>
    <mergeCell ref="D343:H343"/>
    <mergeCell ref="D354:H354"/>
    <mergeCell ref="D355:H355"/>
    <mergeCell ref="D356:H356"/>
    <mergeCell ref="D357:H357"/>
    <mergeCell ref="D358:H358"/>
    <mergeCell ref="D349:H349"/>
    <mergeCell ref="D350:H350"/>
    <mergeCell ref="D351:H351"/>
    <mergeCell ref="D352:H352"/>
    <mergeCell ref="D353:H353"/>
    <mergeCell ref="D364:H364"/>
    <mergeCell ref="D365:H365"/>
    <mergeCell ref="D366:H366"/>
    <mergeCell ref="D367:H367"/>
    <mergeCell ref="D368:H368"/>
    <mergeCell ref="D359:H359"/>
    <mergeCell ref="D360:H360"/>
    <mergeCell ref="D361:H361"/>
    <mergeCell ref="D362:H362"/>
    <mergeCell ref="D363:H363"/>
    <mergeCell ref="D374:H374"/>
    <mergeCell ref="D375:H375"/>
    <mergeCell ref="D376:H376"/>
    <mergeCell ref="D377:H377"/>
    <mergeCell ref="D378:H378"/>
    <mergeCell ref="D369:H369"/>
    <mergeCell ref="D370:H370"/>
    <mergeCell ref="D371:H371"/>
    <mergeCell ref="D372:H372"/>
    <mergeCell ref="D373:H373"/>
    <mergeCell ref="D384:H384"/>
    <mergeCell ref="D385:H385"/>
    <mergeCell ref="D386:H386"/>
    <mergeCell ref="D387:H387"/>
    <mergeCell ref="D388:H388"/>
    <mergeCell ref="D379:H379"/>
    <mergeCell ref="D380:H380"/>
    <mergeCell ref="D381:H381"/>
    <mergeCell ref="D382:H382"/>
    <mergeCell ref="D383:H383"/>
    <mergeCell ref="D394:H394"/>
    <mergeCell ref="D395:H395"/>
    <mergeCell ref="D396:H396"/>
    <mergeCell ref="D397:H397"/>
    <mergeCell ref="D398:H398"/>
    <mergeCell ref="D389:H389"/>
    <mergeCell ref="D390:H390"/>
    <mergeCell ref="D391:H391"/>
    <mergeCell ref="D392:H392"/>
    <mergeCell ref="D393:H393"/>
    <mergeCell ref="D404:H404"/>
    <mergeCell ref="D405:H405"/>
    <mergeCell ref="D406:H406"/>
    <mergeCell ref="D407:H407"/>
    <mergeCell ref="D408:H408"/>
    <mergeCell ref="D399:H399"/>
    <mergeCell ref="D400:H400"/>
    <mergeCell ref="D401:H401"/>
    <mergeCell ref="D402:H402"/>
    <mergeCell ref="D403:H403"/>
    <mergeCell ref="D414:H414"/>
    <mergeCell ref="D415:H415"/>
    <mergeCell ref="D416:H416"/>
    <mergeCell ref="D417:H417"/>
    <mergeCell ref="D418:H418"/>
    <mergeCell ref="D409:H409"/>
    <mergeCell ref="D410:H410"/>
    <mergeCell ref="D411:H411"/>
    <mergeCell ref="D412:H412"/>
    <mergeCell ref="D413:H413"/>
    <mergeCell ref="D424:H424"/>
    <mergeCell ref="D425:H425"/>
    <mergeCell ref="D426:H426"/>
    <mergeCell ref="D427:H427"/>
    <mergeCell ref="D428:H428"/>
    <mergeCell ref="D419:H419"/>
    <mergeCell ref="D420:H420"/>
    <mergeCell ref="D421:H421"/>
    <mergeCell ref="D422:H422"/>
    <mergeCell ref="D423:H423"/>
    <mergeCell ref="D434:H434"/>
    <mergeCell ref="D435:H435"/>
    <mergeCell ref="D436:H436"/>
    <mergeCell ref="D437:H437"/>
    <mergeCell ref="D438:H438"/>
    <mergeCell ref="D429:H429"/>
    <mergeCell ref="D430:H430"/>
    <mergeCell ref="D431:H431"/>
    <mergeCell ref="D432:H432"/>
    <mergeCell ref="D433:H433"/>
    <mergeCell ref="D444:H444"/>
    <mergeCell ref="D445:H445"/>
    <mergeCell ref="D446:H446"/>
    <mergeCell ref="D447:H447"/>
    <mergeCell ref="D448:H448"/>
    <mergeCell ref="D439:H439"/>
    <mergeCell ref="D440:H440"/>
    <mergeCell ref="D441:H441"/>
    <mergeCell ref="D442:H442"/>
    <mergeCell ref="D443:H443"/>
    <mergeCell ref="D454:H454"/>
    <mergeCell ref="D455:H455"/>
    <mergeCell ref="D456:H456"/>
    <mergeCell ref="D457:H457"/>
    <mergeCell ref="D458:H458"/>
    <mergeCell ref="D449:H449"/>
    <mergeCell ref="D450:H450"/>
    <mergeCell ref="D451:H451"/>
    <mergeCell ref="D452:H452"/>
    <mergeCell ref="D453:H453"/>
    <mergeCell ref="D464:H464"/>
    <mergeCell ref="D465:H465"/>
    <mergeCell ref="D466:H466"/>
    <mergeCell ref="D467:H467"/>
    <mergeCell ref="D468:H468"/>
    <mergeCell ref="D459:H459"/>
    <mergeCell ref="D460:H460"/>
    <mergeCell ref="D461:H461"/>
    <mergeCell ref="D462:H462"/>
    <mergeCell ref="D463:H463"/>
    <mergeCell ref="D474:H474"/>
    <mergeCell ref="D475:H475"/>
    <mergeCell ref="D476:H476"/>
    <mergeCell ref="D477:H477"/>
    <mergeCell ref="D478:H478"/>
    <mergeCell ref="D469:H469"/>
    <mergeCell ref="D470:H470"/>
    <mergeCell ref="D471:H471"/>
    <mergeCell ref="D472:H472"/>
    <mergeCell ref="D473:H473"/>
    <mergeCell ref="D491:H491"/>
    <mergeCell ref="D492:H492"/>
    <mergeCell ref="D493:H493"/>
    <mergeCell ref="D484:H484"/>
    <mergeCell ref="D485:H485"/>
    <mergeCell ref="D486:H486"/>
    <mergeCell ref="D487:H487"/>
    <mergeCell ref="D488:H488"/>
    <mergeCell ref="D479:H479"/>
    <mergeCell ref="D480:H480"/>
    <mergeCell ref="D481:H481"/>
    <mergeCell ref="D482:H482"/>
    <mergeCell ref="D483:H483"/>
    <mergeCell ref="D509:H509"/>
    <mergeCell ref="D510:H510"/>
    <mergeCell ref="D511:H511"/>
    <mergeCell ref="D512:H512"/>
    <mergeCell ref="D513:H513"/>
    <mergeCell ref="D504:H504"/>
    <mergeCell ref="D505:H505"/>
    <mergeCell ref="D506:H506"/>
    <mergeCell ref="D507:H507"/>
    <mergeCell ref="D508:H508"/>
    <mergeCell ref="D499:H499"/>
    <mergeCell ref="D500:H500"/>
    <mergeCell ref="D501:H501"/>
    <mergeCell ref="D502:H502"/>
    <mergeCell ref="D503:H503"/>
    <mergeCell ref="D494:H494"/>
    <mergeCell ref="D495:H495"/>
    <mergeCell ref="D496:H496"/>
    <mergeCell ref="D497:H497"/>
    <mergeCell ref="D498:H498"/>
    <mergeCell ref="D489:H489"/>
    <mergeCell ref="D490:H490"/>
  </mergeCells>
  <conditionalFormatting sqref="A14:A513">
    <cfRule type="expression" dxfId="2" priority="3">
      <formula>AND(A14&lt;&gt;"",COUNTIF($A$14:$A$513,A14)&gt;1)</formula>
    </cfRule>
  </conditionalFormatting>
  <conditionalFormatting sqref="B14:D70 B71:C513">
    <cfRule type="expression" dxfId="1" priority="4">
      <formula>AND($A14&lt;&gt;"",COUNTIF($A$14:$A$513,$A14)&gt;1)</formula>
    </cfRule>
  </conditionalFormatting>
  <conditionalFormatting sqref="D71:D513">
    <cfRule type="expression" dxfId="0" priority="1">
      <formula>AND($A71&lt;&gt;"",COUNTIF($A$14:$A$513,$A71)&gt;1)</formula>
    </cfRule>
  </conditionalFormatting>
  <dataValidations count="1">
    <dataValidation type="whole" showErrorMessage="1" errorTitle="Lote inválido" error="Digite número de 1 a 10" sqref="C14:C513" xr:uid="{00000000-0002-0000-0000-000000000000}">
      <formula1>1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showGridLines="0" zoomScaleNormal="100" workbookViewId="0">
      <selection activeCell="C25" sqref="C25"/>
    </sheetView>
  </sheetViews>
  <sheetFormatPr defaultColWidth="8.7109375" defaultRowHeight="15" x14ac:dyDescent="0.25"/>
  <cols>
    <col min="1" max="1" width="3" customWidth="1"/>
    <col min="2" max="2" width="32" customWidth="1"/>
    <col min="3" max="3" width="76.5703125" customWidth="1"/>
  </cols>
  <sheetData>
    <row r="1" spans="1:3" ht="39.75" customHeight="1" x14ac:dyDescent="0.25">
      <c r="A1" s="39" t="s">
        <v>30</v>
      </c>
      <c r="B1" s="39"/>
      <c r="C1" s="39"/>
    </row>
    <row r="2" spans="1:3" ht="7.5" customHeight="1" x14ac:dyDescent="0.25"/>
    <row r="3" spans="1:3" ht="15.75" x14ac:dyDescent="0.25">
      <c r="A3" s="19" t="s">
        <v>31</v>
      </c>
      <c r="B3" s="20" t="s">
        <v>32</v>
      </c>
      <c r="C3" s="21" t="s">
        <v>33</v>
      </c>
    </row>
    <row r="4" spans="1:3" ht="7.5" customHeight="1" x14ac:dyDescent="0.25"/>
    <row r="5" spans="1:3" ht="15.75" x14ac:dyDescent="0.25">
      <c r="A5" s="19" t="s">
        <v>34</v>
      </c>
      <c r="B5" s="20" t="s">
        <v>35</v>
      </c>
      <c r="C5" s="21" t="s">
        <v>36</v>
      </c>
    </row>
    <row r="6" spans="1:3" ht="19.5" customHeight="1" x14ac:dyDescent="0.25">
      <c r="A6" s="19"/>
      <c r="B6" s="22" t="s">
        <v>37</v>
      </c>
      <c r="C6" s="23" t="s">
        <v>38</v>
      </c>
    </row>
    <row r="7" spans="1:3" ht="19.5" customHeight="1" x14ac:dyDescent="0.25">
      <c r="A7" s="19"/>
      <c r="B7" s="22" t="s">
        <v>39</v>
      </c>
      <c r="C7" s="23" t="s">
        <v>40</v>
      </c>
    </row>
    <row r="8" spans="1:3" ht="19.5" customHeight="1" x14ac:dyDescent="0.25">
      <c r="A8" s="19"/>
      <c r="B8" s="22" t="s">
        <v>41</v>
      </c>
      <c r="C8" s="23" t="s">
        <v>42</v>
      </c>
    </row>
    <row r="9" spans="1:3" ht="19.5" customHeight="1" x14ac:dyDescent="0.25">
      <c r="A9" s="19"/>
      <c r="B9" s="22" t="s">
        <v>43</v>
      </c>
      <c r="C9" s="23" t="s">
        <v>44</v>
      </c>
    </row>
    <row r="10" spans="1:3" ht="7.5" customHeight="1" x14ac:dyDescent="0.25"/>
    <row r="11" spans="1:3" ht="19.5" customHeight="1" x14ac:dyDescent="0.25">
      <c r="A11" s="19" t="s">
        <v>45</v>
      </c>
      <c r="B11" s="20" t="s">
        <v>46</v>
      </c>
      <c r="C11" s="21" t="s">
        <v>47</v>
      </c>
    </row>
    <row r="12" spans="1:3" ht="19.5" customHeight="1" x14ac:dyDescent="0.25">
      <c r="A12" s="19"/>
      <c r="B12" s="22"/>
      <c r="C12" s="23" t="s">
        <v>48</v>
      </c>
    </row>
    <row r="13" spans="1:3" ht="19.5" customHeight="1" x14ac:dyDescent="0.25">
      <c r="A13" s="19"/>
      <c r="B13" s="22"/>
      <c r="C13" s="23" t="s">
        <v>49</v>
      </c>
    </row>
    <row r="14" spans="1:3" ht="7.5" customHeight="1" x14ac:dyDescent="0.25"/>
    <row r="15" spans="1:3" ht="19.5" customHeight="1" x14ac:dyDescent="0.25">
      <c r="A15" s="19" t="s">
        <v>50</v>
      </c>
      <c r="B15" s="20" t="s">
        <v>51</v>
      </c>
      <c r="C15" s="21" t="s">
        <v>52</v>
      </c>
    </row>
    <row r="16" spans="1:3" ht="19.5" customHeight="1" x14ac:dyDescent="0.25">
      <c r="A16" s="19"/>
      <c r="B16" s="22" t="s">
        <v>53</v>
      </c>
      <c r="C16" s="23" t="s">
        <v>54</v>
      </c>
    </row>
    <row r="17" spans="1:3" ht="19.5" customHeight="1" x14ac:dyDescent="0.25">
      <c r="A17" s="19"/>
      <c r="B17" s="22" t="s">
        <v>55</v>
      </c>
      <c r="C17" s="23" t="s">
        <v>56</v>
      </c>
    </row>
    <row r="18" spans="1:3" ht="19.5" customHeight="1" x14ac:dyDescent="0.25">
      <c r="A18" s="19"/>
      <c r="B18" s="22" t="s">
        <v>57</v>
      </c>
      <c r="C18" s="23" t="s">
        <v>58</v>
      </c>
    </row>
    <row r="19" spans="1:3" ht="19.5" customHeight="1" x14ac:dyDescent="0.25">
      <c r="A19" s="19"/>
      <c r="B19" s="22" t="s">
        <v>59</v>
      </c>
      <c r="C19" s="23" t="s">
        <v>60</v>
      </c>
    </row>
    <row r="20" spans="1:3" ht="19.5" customHeight="1" x14ac:dyDescent="0.25">
      <c r="A20" s="19"/>
      <c r="B20" s="22" t="s">
        <v>61</v>
      </c>
      <c r="C20" s="23" t="s">
        <v>62</v>
      </c>
    </row>
    <row r="21" spans="1:3" ht="19.5" customHeight="1" x14ac:dyDescent="0.25">
      <c r="A21" s="19"/>
      <c r="B21" s="22" t="s">
        <v>63</v>
      </c>
      <c r="C21" s="23" t="s">
        <v>64</v>
      </c>
    </row>
    <row r="22" spans="1:3" ht="7.5" customHeight="1" x14ac:dyDescent="0.25"/>
    <row r="23" spans="1:3" ht="19.5" customHeight="1" x14ac:dyDescent="0.25">
      <c r="A23" s="19" t="s">
        <v>65</v>
      </c>
      <c r="B23" s="20" t="s">
        <v>66</v>
      </c>
      <c r="C23" s="21" t="s">
        <v>67</v>
      </c>
    </row>
    <row r="24" spans="1:3" ht="7.5" customHeight="1" x14ac:dyDescent="0.25"/>
    <row r="25" spans="1:3" ht="15.75" x14ac:dyDescent="0.25">
      <c r="A25" s="19" t="s">
        <v>68</v>
      </c>
      <c r="B25" s="20" t="s">
        <v>69</v>
      </c>
      <c r="C25" s="21" t="s">
        <v>70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Pesagem</vt:lpstr>
      <vt:lpstr>📋 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Rogerio Avelino</cp:lastModifiedBy>
  <cp:revision>0</cp:revision>
  <dcterms:created xsi:type="dcterms:W3CDTF">2026-05-25T01:16:38Z</dcterms:created>
  <dcterms:modified xsi:type="dcterms:W3CDTF">2026-06-04T22:26:15Z</dcterms:modified>
  <dc:language>en-US</dc:language>
</cp:coreProperties>
</file>